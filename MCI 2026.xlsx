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win.bedoya\Downloads\"/>
    </mc:Choice>
  </mc:AlternateContent>
  <xr:revisionPtr revIDLastSave="0" documentId="13_ncr:1_{C18F7EE5-B51F-4A2B-BE4A-196E4C40B977}" xr6:coauthVersionLast="47" xr6:coauthVersionMax="47" xr10:uidLastSave="{00000000-0000-0000-0000-000000000000}"/>
  <bookViews>
    <workbookView xWindow="-120" yWindow="-120" windowWidth="19440" windowHeight="10320" firstSheet="1" activeTab="4" xr2:uid="{C66C4E96-9E53-4FAC-BD48-F5FAB0473204}"/>
  </bookViews>
  <sheets>
    <sheet name="Base" sheetId="1" state="hidden" r:id="rId1"/>
    <sheet name="Hoja1" sheetId="5" r:id="rId2"/>
    <sheet name="Base." sheetId="3" r:id="rId3"/>
    <sheet name="1" sheetId="4" r:id="rId4"/>
    <sheet name="Base. (2)" sheetId="6" r:id="rId5"/>
    <sheet name="Base. (3)" sheetId="7" r:id="rId6"/>
  </sheets>
  <definedNames>
    <definedName name="solver_eng" localSheetId="4" hidden="1">0</definedName>
    <definedName name="solver_eng" localSheetId="5" hidden="1">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6" l="1"/>
  <c r="C58" i="6"/>
  <c r="D60" i="6"/>
  <c r="E60" i="6"/>
  <c r="F60" i="6"/>
  <c r="G60" i="6"/>
  <c r="H60" i="6"/>
  <c r="C60" i="6"/>
  <c r="H19" i="6"/>
  <c r="B71" i="6" s="1"/>
  <c r="H18" i="6"/>
  <c r="B70" i="6" s="1"/>
  <c r="H17" i="6"/>
  <c r="B69" i="6" s="1"/>
  <c r="H16" i="6"/>
  <c r="B68" i="6" s="1"/>
  <c r="H15" i="6"/>
  <c r="B67" i="6" s="1"/>
  <c r="H14" i="6"/>
  <c r="B66" i="6" s="1"/>
  <c r="C66" i="6" s="1"/>
  <c r="H32" i="6" s="1"/>
  <c r="I59" i="6"/>
  <c r="D28" i="7"/>
  <c r="H17" i="7"/>
  <c r="G17" i="7"/>
  <c r="F17" i="7"/>
  <c r="E17" i="7"/>
  <c r="D17" i="7"/>
  <c r="C17" i="7"/>
  <c r="I17" i="7" s="1"/>
  <c r="I16" i="7"/>
  <c r="I15" i="7"/>
  <c r="I14" i="7"/>
  <c r="I13" i="7"/>
  <c r="I12" i="7"/>
  <c r="I11" i="7"/>
  <c r="I10" i="7"/>
  <c r="I9" i="7"/>
  <c r="C27" i="7" s="1"/>
  <c r="E27" i="7" s="1"/>
  <c r="I8" i="7"/>
  <c r="C26" i="7" s="1"/>
  <c r="E26" i="7" s="1"/>
  <c r="I7" i="7"/>
  <c r="C25" i="7" s="1"/>
  <c r="E25" i="7" s="1"/>
  <c r="I6" i="7"/>
  <c r="C24" i="7" s="1"/>
  <c r="E24" i="7" s="1"/>
  <c r="I5" i="7"/>
  <c r="C23" i="7" s="1"/>
  <c r="I50" i="6"/>
  <c r="I47" i="6"/>
  <c r="I48" i="6"/>
  <c r="I49" i="6"/>
  <c r="I46" i="6"/>
  <c r="I51" i="6"/>
  <c r="I52" i="6"/>
  <c r="I53" i="6"/>
  <c r="I54" i="6"/>
  <c r="I55" i="6"/>
  <c r="I56" i="6"/>
  <c r="I57" i="6"/>
  <c r="H58" i="6"/>
  <c r="C71" i="6" l="1"/>
  <c r="H37" i="6" s="1"/>
  <c r="G37" i="6"/>
  <c r="C70" i="6"/>
  <c r="H36" i="6" s="1"/>
  <c r="H38" i="6" s="1"/>
  <c r="G36" i="6"/>
  <c r="C69" i="6"/>
  <c r="H35" i="6" s="1"/>
  <c r="G35" i="6"/>
  <c r="C68" i="6"/>
  <c r="H34" i="6" s="1"/>
  <c r="G34" i="6"/>
  <c r="C67" i="6"/>
  <c r="H33" i="6" s="1"/>
  <c r="G33" i="6"/>
  <c r="G19" i="6"/>
  <c r="D71" i="6"/>
  <c r="I37" i="6" s="1"/>
  <c r="K37" i="6" s="1"/>
  <c r="G38" i="6"/>
  <c r="C72" i="6"/>
  <c r="I19" i="6"/>
  <c r="D66" i="6"/>
  <c r="I32" i="6" s="1"/>
  <c r="B72" i="6"/>
  <c r="H20" i="6"/>
  <c r="I60" i="6"/>
  <c r="E23" i="7"/>
  <c r="E28" i="7" s="1"/>
  <c r="C28" i="7"/>
  <c r="C2" i="7" s="1"/>
  <c r="D1" i="7" s="1"/>
  <c r="D58" i="6"/>
  <c r="E58" i="6"/>
  <c r="F58" i="6"/>
  <c r="G58" i="6"/>
  <c r="K32" i="6" l="1"/>
  <c r="D70" i="6"/>
  <c r="I36" i="6" s="1"/>
  <c r="K36" i="6" s="1"/>
  <c r="D67" i="6"/>
  <c r="I33" i="6" s="1"/>
  <c r="D68" i="6"/>
  <c r="I34" i="6" s="1"/>
  <c r="K34" i="6" s="1"/>
  <c r="D69" i="6"/>
  <c r="I35" i="6" s="1"/>
  <c r="K35" i="6" s="1"/>
  <c r="G18" i="6"/>
  <c r="G15" i="6"/>
  <c r="I15" i="6" s="1"/>
  <c r="G16" i="6"/>
  <c r="I16" i="6" s="1"/>
  <c r="G17" i="6"/>
  <c r="I17" i="6" s="1"/>
  <c r="I18" i="6"/>
  <c r="G14" i="6"/>
  <c r="I58" i="6"/>
  <c r="C2" i="6"/>
  <c r="D1" i="6" s="1"/>
  <c r="H20" i="4"/>
  <c r="H9" i="4"/>
  <c r="G9" i="4"/>
  <c r="I9" i="4" s="1"/>
  <c r="D20" i="4"/>
  <c r="E20" i="4"/>
  <c r="F20" i="4"/>
  <c r="D21" i="3"/>
  <c r="D20" i="3"/>
  <c r="C21" i="3"/>
  <c r="F28" i="3"/>
  <c r="F29" i="3"/>
  <c r="F30" i="3"/>
  <c r="F31" i="3"/>
  <c r="F27" i="3"/>
  <c r="K15" i="3"/>
  <c r="J15" i="3"/>
  <c r="H32" i="3"/>
  <c r="F32" i="3"/>
  <c r="I38" i="6" l="1"/>
  <c r="K38" i="6" s="1"/>
  <c r="K33" i="6"/>
  <c r="I14" i="6"/>
  <c r="G20" i="6"/>
  <c r="I20" i="6" s="1"/>
  <c r="D72" i="6"/>
  <c r="E32" i="3"/>
  <c r="H21" i="3"/>
  <c r="H20" i="3"/>
  <c r="I20" i="3"/>
  <c r="D19" i="4"/>
  <c r="E19" i="4"/>
  <c r="F19" i="4"/>
  <c r="D22" i="3"/>
  <c r="E20" i="3"/>
  <c r="D18" i="4"/>
  <c r="E18" i="4"/>
  <c r="F18" i="4"/>
  <c r="H22" i="3" l="1"/>
  <c r="D17" i="4"/>
  <c r="E17" i="4"/>
  <c r="F17" i="4" s="1"/>
  <c r="D15" i="3" l="1"/>
  <c r="E16" i="4"/>
  <c r="D16" i="4"/>
  <c r="F14" i="3"/>
  <c r="F13" i="3"/>
  <c r="F12" i="3"/>
  <c r="F11" i="3"/>
  <c r="F10" i="3"/>
  <c r="F9" i="3"/>
  <c r="F8" i="3"/>
  <c r="F7" i="3"/>
  <c r="C6" i="3"/>
  <c r="F6" i="3" s="1"/>
  <c r="C5" i="3"/>
  <c r="F5" i="3" s="1"/>
  <c r="C4" i="3"/>
  <c r="F4" i="3" s="1"/>
  <c r="C3" i="3"/>
  <c r="C20" i="3" s="1"/>
  <c r="C22" i="3" s="1"/>
  <c r="G7" i="3"/>
  <c r="G8" i="3"/>
  <c r="G9" i="3"/>
  <c r="G10" i="3"/>
  <c r="G11" i="3"/>
  <c r="G12" i="3"/>
  <c r="G13" i="3"/>
  <c r="G14" i="3"/>
  <c r="G6" i="3"/>
  <c r="G5" i="3"/>
  <c r="G4" i="3"/>
  <c r="G3" i="3"/>
  <c r="F16" i="4" l="1"/>
  <c r="F3" i="3"/>
  <c r="F20" i="3" s="1"/>
  <c r="C15" i="3"/>
  <c r="L15" i="3"/>
  <c r="M14" i="3"/>
  <c r="G20" i="4" l="1"/>
  <c r="I20" i="4" s="1"/>
  <c r="I21" i="3" s="1"/>
  <c r="I22" i="3" s="1"/>
  <c r="F15" i="3"/>
  <c r="M13" i="3"/>
  <c r="M12" i="3"/>
  <c r="M11" i="3" l="1"/>
  <c r="M10" i="3" l="1"/>
  <c r="M9" i="3" l="1"/>
  <c r="M8" i="3" l="1"/>
  <c r="E21" i="3"/>
  <c r="G21" i="3"/>
  <c r="G22" i="3" s="1"/>
  <c r="M7" i="3"/>
  <c r="E15" i="3" l="1"/>
  <c r="G15" i="3" s="1"/>
  <c r="E22" i="3"/>
  <c r="C2" i="1" l="1"/>
  <c r="M6" i="3"/>
  <c r="M5" i="3"/>
  <c r="M4" i="3"/>
  <c r="C14" i="1"/>
  <c r="F2" i="1"/>
  <c r="F3" i="1"/>
  <c r="F4" i="1"/>
  <c r="F9" i="1"/>
  <c r="F17" i="1"/>
  <c r="C7" i="1"/>
  <c r="C8" i="1"/>
  <c r="C10" i="1"/>
  <c r="C11" i="1"/>
  <c r="C12" i="1"/>
  <c r="C13" i="1"/>
  <c r="F13" i="1" s="1"/>
  <c r="C15" i="1"/>
  <c r="C16" i="1"/>
  <c r="D2" i="1"/>
  <c r="D13" i="1"/>
  <c r="M3" i="3" l="1"/>
  <c r="F21" i="3" s="1"/>
  <c r="F22" i="3" s="1"/>
  <c r="D5" i="1"/>
  <c r="F5" i="1" s="1"/>
  <c r="M15" i="3" l="1"/>
  <c r="D16" i="1"/>
  <c r="F16" i="1" s="1"/>
  <c r="D15" i="1"/>
  <c r="F15" i="1" s="1"/>
  <c r="D14" i="1"/>
  <c r="F14" i="1" s="1"/>
  <c r="D12" i="1"/>
  <c r="F12" i="1" s="1"/>
  <c r="D11" i="1"/>
  <c r="F11" i="1" s="1"/>
  <c r="D10" i="1"/>
  <c r="F10" i="1" s="1"/>
  <c r="D8" i="1"/>
  <c r="F8" i="1" s="1"/>
  <c r="D7" i="1"/>
  <c r="F7" i="1" s="1"/>
  <c r="D6" i="1"/>
  <c r="F6" i="1" s="1"/>
</calcChain>
</file>

<file path=xl/sharedStrings.xml><?xml version="1.0" encoding="utf-8"?>
<sst xmlns="http://schemas.openxmlformats.org/spreadsheetml/2006/main" count="228" uniqueCount="66">
  <si>
    <t>Año</t>
  </si>
  <si>
    <t>Mes</t>
  </si>
  <si>
    <t>Rutas Basicas</t>
  </si>
  <si>
    <t>Rutas Adicionales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</si>
  <si>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</si>
  <si>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</si>
  <si>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</si>
  <si>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</si>
  <si>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</si>
  <si>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</si>
  <si>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</si>
  <si>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</si>
  <si>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</si>
  <si>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</si>
  <si>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</si>
  <si>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</si>
  <si>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Descuentos</t>
  </si>
  <si>
    <t>Total</t>
  </si>
  <si>
    <t>AÑO</t>
  </si>
  <si>
    <t>MES</t>
  </si>
  <si>
    <t>BASICAS</t>
  </si>
  <si>
    <t>ADICIONALES</t>
  </si>
  <si>
    <t>DTOS</t>
  </si>
  <si>
    <t>TOTAL</t>
  </si>
  <si>
    <t xml:space="preserve">American tours </t>
  </si>
  <si>
    <t>Contratista</t>
  </si>
  <si>
    <t>Variacion</t>
  </si>
  <si>
    <t>N° PERSONAS</t>
  </si>
  <si>
    <t>COSTO POR PERSONA</t>
  </si>
  <si>
    <t>PROMEDIO PERSONAS</t>
  </si>
  <si>
    <t>Columna1</t>
  </si>
  <si>
    <t>Columna2</t>
  </si>
  <si>
    <t>Columna3</t>
  </si>
  <si>
    <t>Columna4</t>
  </si>
  <si>
    <t>Suma de AÑO</t>
  </si>
  <si>
    <t>Etiquetas de fila</t>
  </si>
  <si>
    <t>(en blanco)</t>
  </si>
  <si>
    <t>Total general</t>
  </si>
  <si>
    <t>Meta A Dic 2026</t>
  </si>
  <si>
    <t>Proyeccion</t>
  </si>
  <si>
    <t>Ahorro</t>
  </si>
  <si>
    <t>Analisis Acumulado Abril</t>
  </si>
  <si>
    <t>PRESUPESTO MENSUAL 443</t>
  </si>
  <si>
    <t>NOMINA</t>
  </si>
  <si>
    <t>RUTAS</t>
  </si>
  <si>
    <t>ORDENES SERVICIOS</t>
  </si>
  <si>
    <t>PODA</t>
  </si>
  <si>
    <t xml:space="preserve">ENERGIA </t>
  </si>
  <si>
    <t>EJECUTADO</t>
  </si>
  <si>
    <t>AVANCE</t>
  </si>
  <si>
    <t>MCI 2026</t>
  </si>
  <si>
    <t>Cumplimiento</t>
  </si>
  <si>
    <t>INVENTARIOS</t>
  </si>
  <si>
    <t>MCI</t>
  </si>
  <si>
    <t>CUMPLIMIENTO</t>
  </si>
  <si>
    <t>Direccion Administrativa</t>
  </si>
  <si>
    <t>MCI 2026 Reducir los gastos operativos del ppto aprobado, pasando de 18.782 a 18.546 millones de dolares generando ahorros de 236.000 dolares a Dic 31 de 2026</t>
  </si>
  <si>
    <t>ACUMULADO</t>
  </si>
  <si>
    <t>AVANCE MINIMO A MAYO</t>
  </si>
  <si>
    <t>ESTIMADO</t>
  </si>
  <si>
    <t>DIFERENCIA</t>
  </si>
  <si>
    <t>ESTIMADO A MAYO</t>
  </si>
  <si>
    <t>ACUMULADO MAYO</t>
  </si>
  <si>
    <t>META 2026</t>
  </si>
  <si>
    <t>ACUMULADO A MAYO</t>
  </si>
  <si>
    <t>BITACORA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</si>
</sst>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%"/>
    <numFmt numFmtId="166" formatCode="_-* #,##0_-;\-* #,##0_-;_-* &quot;-&quot;??_-;_-@_-"/>
    <numFmt numFmtId="168" formatCode="_-&quot;$&quot;\ * #,##0.0_-;\-&quot;$&quot;\ * #,##0.0_-;_-&quot;$&quot;\ * &quot;-&quot;??_-;_-@_-"/>
    <numFmt numFmtId="17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44" fontId="1" fillId="2" borderId="0" xfId="1" applyFont="1" applyFill="1"/>
    <xf numFmtId="0" fontId="2" fillId="2" borderId="0" xfId="0" applyFont="1" applyFill="1"/>
    <xf numFmtId="164" fontId="0" fillId="0" borderId="0" xfId="0" applyNumberFormat="1"/>
    <xf numFmtId="0" fontId="2" fillId="0" borderId="0" xfId="0" applyFont="1"/>
    <xf numFmtId="0" fontId="4" fillId="3" borderId="0" xfId="0" applyFont="1" applyFill="1"/>
    <xf numFmtId="164" fontId="4" fillId="3" borderId="0" xfId="1" applyNumberFormat="1" applyFont="1" applyFill="1"/>
    <xf numFmtId="0" fontId="2" fillId="0" borderId="1" xfId="0" applyFont="1" applyBorder="1"/>
    <xf numFmtId="0" fontId="4" fillId="3" borderId="2" xfId="0" applyFont="1" applyFill="1" applyBorder="1"/>
    <xf numFmtId="164" fontId="5" fillId="3" borderId="0" xfId="1" applyNumberFormat="1" applyFont="1" applyFill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" borderId="2" xfId="0" applyFont="1" applyFill="1" applyBorder="1"/>
    <xf numFmtId="164" fontId="5" fillId="3" borderId="2" xfId="1" applyNumberFormat="1" applyFont="1" applyFill="1" applyBorder="1"/>
    <xf numFmtId="0" fontId="2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164" fontId="4" fillId="3" borderId="0" xfId="1" applyNumberFormat="1" applyFont="1" applyFill="1" applyAlignment="1">
      <alignment horizontal="center"/>
    </xf>
    <xf numFmtId="164" fontId="4" fillId="3" borderId="0" xfId="1" applyNumberFormat="1" applyFont="1" applyFill="1" applyBorder="1"/>
    <xf numFmtId="1" fontId="0" fillId="0" borderId="0" xfId="0" applyNumberFormat="1"/>
    <xf numFmtId="9" fontId="0" fillId="0" borderId="0" xfId="2" applyFont="1"/>
    <xf numFmtId="164" fontId="5" fillId="3" borderId="0" xfId="1" applyNumberFormat="1" applyFont="1" applyFill="1" applyBorder="1"/>
    <xf numFmtId="9" fontId="2" fillId="4" borderId="0" xfId="2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5" fontId="2" fillId="4" borderId="0" xfId="2" applyNumberFormat="1" applyFont="1" applyFill="1" applyAlignment="1">
      <alignment horizontal="center"/>
    </xf>
    <xf numFmtId="10" fontId="2" fillId="4" borderId="0" xfId="2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44" fontId="4" fillId="3" borderId="0" xfId="1" applyFont="1" applyFill="1"/>
    <xf numFmtId="0" fontId="0" fillId="0" borderId="3" xfId="0" applyBorder="1"/>
    <xf numFmtId="166" fontId="0" fillId="0" borderId="3" xfId="3" applyNumberFormat="1" applyFont="1" applyBorder="1"/>
    <xf numFmtId="166" fontId="2" fillId="0" borderId="3" xfId="3" applyNumberFormat="1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5" fillId="3" borderId="3" xfId="0" applyFont="1" applyFill="1" applyBorder="1"/>
    <xf numFmtId="164" fontId="4" fillId="5" borderId="0" xfId="1" applyNumberFormat="1" applyFont="1" applyFill="1" applyBorder="1"/>
    <xf numFmtId="0" fontId="2" fillId="6" borderId="0" xfId="0" applyFont="1" applyFill="1"/>
    <xf numFmtId="0" fontId="2" fillId="0" borderId="0" xfId="0" applyFont="1" applyAlignment="1">
      <alignment horizontal="center"/>
    </xf>
    <xf numFmtId="164" fontId="4" fillId="3" borderId="0" xfId="0" applyNumberFormat="1" applyFont="1" applyFill="1"/>
    <xf numFmtId="44" fontId="4" fillId="3" borderId="0" xfId="0" applyNumberFormat="1" applyFont="1" applyFill="1"/>
    <xf numFmtId="164" fontId="6" fillId="7" borderId="0" xfId="1" applyNumberFormat="1" applyFont="1" applyFill="1" applyBorder="1"/>
    <xf numFmtId="164" fontId="6" fillId="7" borderId="0" xfId="1" applyNumberFormat="1" applyFont="1" applyFill="1"/>
    <xf numFmtId="0" fontId="0" fillId="8" borderId="0" xfId="0" applyFill="1"/>
    <xf numFmtId="166" fontId="0" fillId="0" borderId="3" xfId="3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9" fontId="0" fillId="0" borderId="3" xfId="2" applyFont="1" applyBorder="1" applyAlignment="1">
      <alignment horizontal="center"/>
    </xf>
    <xf numFmtId="9" fontId="2" fillId="0" borderId="3" xfId="2" applyFont="1" applyBorder="1"/>
    <xf numFmtId="164" fontId="5" fillId="9" borderId="0" xfId="1" applyNumberFormat="1" applyFont="1" applyFill="1"/>
    <xf numFmtId="164" fontId="5" fillId="10" borderId="0" xfId="1" applyNumberFormat="1" applyFont="1" applyFill="1"/>
    <xf numFmtId="164" fontId="6" fillId="11" borderId="0" xfId="1" applyNumberFormat="1" applyFont="1" applyFill="1"/>
    <xf numFmtId="166" fontId="2" fillId="9" borderId="0" xfId="2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0" fontId="0" fillId="0" borderId="0" xfId="0" applyFill="1"/>
    <xf numFmtId="166" fontId="2" fillId="0" borderId="0" xfId="2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9" fontId="1" fillId="0" borderId="0" xfId="2" applyFont="1"/>
    <xf numFmtId="0" fontId="0" fillId="12" borderId="0" xfId="0" applyFill="1" applyAlignment="1">
      <alignment horizontal="left"/>
    </xf>
    <xf numFmtId="0" fontId="0" fillId="12" borderId="0" xfId="0" applyFill="1"/>
    <xf numFmtId="0" fontId="0" fillId="12" borderId="0" xfId="0" applyFill="1" applyAlignment="1">
      <alignment horizontal="center"/>
    </xf>
    <xf numFmtId="9" fontId="1" fillId="12" borderId="0" xfId="2" applyFont="1" applyFill="1"/>
    <xf numFmtId="0" fontId="2" fillId="12" borderId="0" xfId="0" applyFont="1" applyFill="1" applyAlignment="1">
      <alignment horizontal="left"/>
    </xf>
    <xf numFmtId="166" fontId="2" fillId="12" borderId="0" xfId="2" applyNumberFormat="1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5" fillId="12" borderId="3" xfId="0" applyFont="1" applyFill="1" applyBorder="1"/>
    <xf numFmtId="164" fontId="0" fillId="12" borderId="3" xfId="1" applyNumberFormat="1" applyFont="1" applyFill="1" applyBorder="1" applyAlignment="1">
      <alignment horizontal="center" vertical="top"/>
    </xf>
    <xf numFmtId="9" fontId="0" fillId="12" borderId="3" xfId="2" applyFont="1" applyFill="1" applyBorder="1" applyAlignment="1">
      <alignment horizontal="center"/>
    </xf>
    <xf numFmtId="164" fontId="2" fillId="12" borderId="3" xfId="1" applyNumberFormat="1" applyFont="1" applyFill="1" applyBorder="1" applyAlignment="1">
      <alignment horizontal="center" vertical="top"/>
    </xf>
    <xf numFmtId="9" fontId="2" fillId="12" borderId="3" xfId="2" applyFont="1" applyFill="1" applyBorder="1" applyAlignment="1">
      <alignment horizontal="center"/>
    </xf>
    <xf numFmtId="0" fontId="4" fillId="12" borderId="0" xfId="0" applyFont="1" applyFill="1"/>
    <xf numFmtId="164" fontId="4" fillId="12" borderId="0" xfId="1" applyNumberFormat="1" applyFont="1" applyFill="1" applyBorder="1"/>
    <xf numFmtId="164" fontId="5" fillId="12" borderId="0" xfId="1" applyNumberFormat="1" applyFont="1" applyFill="1" applyBorder="1"/>
    <xf numFmtId="0" fontId="2" fillId="12" borderId="0" xfId="0" applyFont="1" applyFill="1" applyBorder="1" applyAlignment="1">
      <alignment horizontal="center"/>
    </xf>
    <xf numFmtId="0" fontId="0" fillId="12" borderId="0" xfId="0" applyFill="1" applyBorder="1"/>
    <xf numFmtId="0" fontId="4" fillId="12" borderId="3" xfId="0" applyFont="1" applyFill="1" applyBorder="1"/>
    <xf numFmtId="164" fontId="4" fillId="12" borderId="3" xfId="1" applyNumberFormat="1" applyFont="1" applyFill="1" applyBorder="1"/>
    <xf numFmtId="44" fontId="4" fillId="12" borderId="3" xfId="1" applyFont="1" applyFill="1" applyBorder="1"/>
    <xf numFmtId="164" fontId="6" fillId="13" borderId="3" xfId="1" applyNumberFormat="1" applyFont="1" applyFill="1" applyBorder="1"/>
    <xf numFmtId="0" fontId="4" fillId="12" borderId="5" xfId="0" applyFont="1" applyFill="1" applyBorder="1"/>
    <xf numFmtId="164" fontId="4" fillId="12" borderId="5" xfId="1" applyNumberFormat="1" applyFont="1" applyFill="1" applyBorder="1"/>
    <xf numFmtId="164" fontId="6" fillId="13" borderId="5" xfId="1" applyNumberFormat="1" applyFont="1" applyFill="1" applyBorder="1"/>
    <xf numFmtId="164" fontId="5" fillId="12" borderId="4" xfId="1" applyNumberFormat="1" applyFont="1" applyFill="1" applyBorder="1"/>
    <xf numFmtId="0" fontId="5" fillId="12" borderId="7" xfId="0" applyFont="1" applyFill="1" applyBorder="1"/>
    <xf numFmtId="164" fontId="5" fillId="12" borderId="7" xfId="1" applyNumberFormat="1" applyFont="1" applyFill="1" applyBorder="1"/>
    <xf numFmtId="164" fontId="5" fillId="12" borderId="8" xfId="1" applyNumberFormat="1" applyFont="1" applyFill="1" applyBorder="1"/>
    <xf numFmtId="0" fontId="2" fillId="12" borderId="6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175" fontId="2" fillId="12" borderId="7" xfId="0" applyNumberFormat="1" applyFont="1" applyFill="1" applyBorder="1"/>
    <xf numFmtId="0" fontId="5" fillId="12" borderId="9" xfId="0" applyFont="1" applyFill="1" applyBorder="1"/>
    <xf numFmtId="164" fontId="0" fillId="12" borderId="3" xfId="2" applyNumberFormat="1" applyFont="1" applyFill="1" applyBorder="1" applyAlignment="1">
      <alignment horizontal="center"/>
    </xf>
    <xf numFmtId="0" fontId="8" fillId="12" borderId="3" xfId="0" applyFont="1" applyFill="1" applyBorder="1" applyAlignment="1">
      <alignment horizontal="center"/>
    </xf>
    <xf numFmtId="0" fontId="7" fillId="12" borderId="0" xfId="0" applyFont="1" applyFill="1"/>
    <xf numFmtId="0" fontId="8" fillId="12" borderId="3" xfId="0" applyFont="1" applyFill="1" applyBorder="1"/>
    <xf numFmtId="164" fontId="7" fillId="12" borderId="3" xfId="1" applyNumberFormat="1" applyFont="1" applyFill="1" applyBorder="1" applyAlignment="1">
      <alignment horizontal="center" vertical="top"/>
    </xf>
    <xf numFmtId="164" fontId="7" fillId="12" borderId="3" xfId="2" applyNumberFormat="1" applyFont="1" applyFill="1" applyBorder="1" applyAlignment="1">
      <alignment horizontal="center"/>
    </xf>
    <xf numFmtId="164" fontId="8" fillId="12" borderId="3" xfId="1" applyNumberFormat="1" applyFont="1" applyFill="1" applyBorder="1" applyAlignment="1">
      <alignment horizontal="center" vertical="top"/>
    </xf>
    <xf numFmtId="0" fontId="7" fillId="12" borderId="0" xfId="0" applyFont="1" applyFill="1" applyAlignment="1">
      <alignment horizontal="left"/>
    </xf>
    <xf numFmtId="164" fontId="0" fillId="12" borderId="3" xfId="2" applyNumberFormat="1" applyFont="1" applyFill="1" applyBorder="1" applyAlignment="1">
      <alignment horizontal="right"/>
    </xf>
    <xf numFmtId="168" fontId="0" fillId="12" borderId="3" xfId="2" applyNumberFormat="1" applyFont="1" applyFill="1" applyBorder="1" applyAlignment="1">
      <alignment horizontal="right"/>
    </xf>
    <xf numFmtId="164" fontId="2" fillId="12" borderId="3" xfId="1" applyNumberFormat="1" applyFont="1" applyFill="1" applyBorder="1" applyAlignment="1">
      <alignment horizontal="right" vertical="top"/>
    </xf>
    <xf numFmtId="0" fontId="2" fillId="12" borderId="8" xfId="0" applyFont="1" applyFill="1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>
          <fgColor rgb="FF000000"/>
          <bgColor theme="0" tint="-0.249977111117893"/>
        </patternFill>
      </fill>
    </dxf>
    <dxf>
      <fill>
        <patternFill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&quot;$&quot;\ * #,##0_-;\-&quot;$&quot;\ * #,##0_-;_-&quot;$&quot;\ * &quot;-&quot;??_-;_-@_-"/>
      <fill>
        <patternFill>
          <fgColor rgb="FF000000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&quot;$&quot;\ * #,##0_-;\-&quot;$&quot;\ * #,##0_-;_-&quot;$&quot;\ * &quot;-&quot;??_-;_-@_-"/>
      <fill>
        <patternFill>
          <fgColor rgb="FF000000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&quot;$&quot;\ * #,##0_-;\-&quot;$&quot;\ * #,##0_-;_-&quot;$&quot;\ * &quot;-&quot;??_-;_-@_-"/>
      <fill>
        <patternFill>
          <fgColor rgb="FF000000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&quot;$&quot;\ * #,##0_-;\-&quot;$&quot;\ * #,##0_-;_-&quot;$&quot;\ * &quot;-&quot;??_-;_-@_-"/>
      <fill>
        <patternFill>
          <fgColor rgb="FF000000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&quot;$&quot;\ * #,##0_-;\-&quot;$&quot;\ * #,##0_-;_-&quot;$&quot;\ * &quot;-&quot;??_-;_-@_-"/>
      <fill>
        <patternFill>
          <fgColor rgb="FF000000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&quot;$&quot;\ * #,##0_-;\-&quot;$&quot;\ * #,##0_-;_-&quot;$&quot;\ * &quot;-&quot;??_-;_-@_-"/>
      <fill>
        <patternFill>
          <fgColor rgb="FF000000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>
          <fgColor rgb="FF000000"/>
          <bgColor rgb="FFF2F2F2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 tint="-4.9989318521683403E-2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[MCI 2026.xlsx]Hoja1!TablaDinámica1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Hoja1!$A$2:$A$17</c:f>
              <c:multiLvlStrCache>
                <c:ptCount val="13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(en blanco)</c:v>
                  </c:pt>
                </c:lvl>
                <c:lvl>
                  <c:pt idx="0">
                    <c:v>2025</c:v>
                  </c:pt>
                  <c:pt idx="12">
                    <c:v>(en blanco)</c:v>
                  </c:pt>
                </c:lvl>
              </c:multiLvlStrCache>
            </c:multiLvlStrRef>
          </c:cat>
          <c:val>
            <c:numRef>
              <c:f>Hoja1!$B$2:$B$17</c:f>
              <c:numCache>
                <c:formatCode>General</c:formatCode>
                <c:ptCount val="13"/>
                <c:pt idx="0">
                  <c:v>2025</c:v>
                </c:pt>
                <c:pt idx="1">
                  <c:v>2025</c:v>
                </c:pt>
                <c:pt idx="2">
                  <c:v>2025</c:v>
                </c:pt>
                <c:pt idx="3">
                  <c:v>2025</c:v>
                </c:pt>
                <c:pt idx="4">
                  <c:v>2025</c:v>
                </c:pt>
                <c:pt idx="5">
                  <c:v>2025</c:v>
                </c:pt>
                <c:pt idx="6">
                  <c:v>2025</c:v>
                </c:pt>
                <c:pt idx="7">
                  <c:v>2025</c:v>
                </c:pt>
                <c:pt idx="8">
                  <c:v>2025</c:v>
                </c:pt>
                <c:pt idx="9">
                  <c:v>2025</c:v>
                </c:pt>
                <c:pt idx="10">
                  <c:v>2025</c:v>
                </c:pt>
                <c:pt idx="11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5-4571-A6B9-41678D235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211040"/>
        <c:axId val="882208160"/>
      </c:barChart>
      <c:catAx>
        <c:axId val="88221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2208160"/>
        <c:crosses val="autoZero"/>
        <c:auto val="1"/>
        <c:lblAlgn val="ctr"/>
        <c:lblOffset val="100"/>
        <c:noMultiLvlLbl val="0"/>
      </c:catAx>
      <c:valAx>
        <c:axId val="88220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221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MCI MOVILIZACION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9928215103701719E-2"/>
          <c:y val="0.1045643085199916"/>
          <c:w val="0.92112706631744978"/>
          <c:h val="0.832416582323221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Base.!$C$26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Base.!$B$27:$B$32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Base.!$C$27:$C$32</c:f>
              <c:numCache>
                <c:formatCode>_-* #,##0_-;\-* #,##0_-;_-* "-"??_-;_-@_-</c:formatCode>
                <c:ptCount val="6"/>
                <c:pt idx="0">
                  <c:v>406.38931921</c:v>
                </c:pt>
                <c:pt idx="1">
                  <c:v>345.24238233</c:v>
                </c:pt>
                <c:pt idx="2">
                  <c:v>397.03977600000002</c:v>
                </c:pt>
                <c:pt idx="3">
                  <c:v>412.85051599430778</c:v>
                </c:pt>
                <c:pt idx="4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3-4D7E-B9A7-E0E3AC23A9CF}"/>
            </c:ext>
          </c:extLst>
        </c:ser>
        <c:ser>
          <c:idx val="1"/>
          <c:order val="1"/>
          <c:tx>
            <c:strRef>
              <c:f>Base.!$D$26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Base.!$B$27:$B$32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Base.!$D$27:$D$32</c:f>
              <c:numCache>
                <c:formatCode>_-* #,##0_-;\-* #,##0_-;_-* "-"??_-;_-@_-</c:formatCode>
                <c:ptCount val="6"/>
                <c:pt idx="0">
                  <c:v>406.47071694249996</c:v>
                </c:pt>
                <c:pt idx="1">
                  <c:v>347.72714057423991</c:v>
                </c:pt>
                <c:pt idx="2">
                  <c:v>370.08704260937782</c:v>
                </c:pt>
                <c:pt idx="3">
                  <c:v>391.96725511077994</c:v>
                </c:pt>
                <c:pt idx="4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3-4D7E-B9A7-E0E3AC23A9CF}"/>
            </c:ext>
          </c:extLst>
        </c:ser>
        <c:ser>
          <c:idx val="2"/>
          <c:order val="2"/>
          <c:tx>
            <c:strRef>
              <c:f>Base.!$E$26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Base.!$B$27:$B$32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Base.!$E$27:$E$32</c:f>
            </c:numRef>
          </c:val>
          <c:extLst>
            <c:ext xmlns:c16="http://schemas.microsoft.com/office/drawing/2014/chart" uri="{C3380CC4-5D6E-409C-BE32-E72D297353CC}">
              <c16:uniqueId val="{00000002-BE23-4D7E-B9A7-E0E3AC23A9CF}"/>
            </c:ext>
          </c:extLst>
        </c:ser>
        <c:ser>
          <c:idx val="3"/>
          <c:order val="3"/>
          <c:tx>
            <c:strRef>
              <c:f>Base.!$F$26</c:f>
              <c:strCache>
                <c:ptCount val="1"/>
                <c:pt idx="0">
                  <c:v>Ahorro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Base.!$B$27:$B$32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Base.!$F$27:$F$32</c:f>
              <c:numCache>
                <c:formatCode>_-* #,##0_-;\-* #,##0_-;_-* "-"??_-;_-@_-</c:formatCode>
                <c:ptCount val="6"/>
                <c:pt idx="0">
                  <c:v>-8.1397732499965514E-2</c:v>
                </c:pt>
                <c:pt idx="1">
                  <c:v>-2.484758244239913</c:v>
                </c:pt>
                <c:pt idx="2">
                  <c:v>26.9527333906222</c:v>
                </c:pt>
                <c:pt idx="3">
                  <c:v>20.883260883527839</c:v>
                </c:pt>
                <c:pt idx="4">
                  <c:v>43</c:v>
                </c:pt>
                <c:pt idx="5">
                  <c:v>88.269838297410388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3-4D7E-B9A7-E0E3AC23A9CF}"/>
            </c:ext>
          </c:extLst>
        </c:ser>
        <c:ser>
          <c:idx val="4"/>
          <c:order val="4"/>
          <c:tx>
            <c:strRef>
              <c:f>Base.!$G$26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Base.!$B$27:$B$32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Base.!$G$27:$G$32</c:f>
            </c:numRef>
          </c:val>
          <c:extLst>
            <c:ext xmlns:c16="http://schemas.microsoft.com/office/drawing/2014/chart" uri="{C3380CC4-5D6E-409C-BE32-E72D297353CC}">
              <c16:uniqueId val="{00000004-BE23-4D7E-B9A7-E0E3AC23A9CF}"/>
            </c:ext>
          </c:extLst>
        </c:ser>
        <c:ser>
          <c:idx val="5"/>
          <c:order val="5"/>
          <c:tx>
            <c:strRef>
              <c:f>Base.!$H$26</c:f>
              <c:strCache>
                <c:ptCount val="1"/>
                <c:pt idx="0">
                  <c:v>Proyeccion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Base.!$B$27:$B$32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Base.!$H$27:$H$32</c:f>
              <c:numCache>
                <c:formatCode>General</c:formatCode>
                <c:ptCount val="6"/>
                <c:pt idx="5" formatCode="_-* #,##0_-;\-* #,##0_-;_-* &quot;-&quot;??_-;_-@_-">
                  <c:v>83.333333333333499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23-4D7E-B9A7-E0E3AC23A9CF}"/>
            </c:ext>
          </c:extLst>
        </c:ser>
        <c:ser>
          <c:idx val="6"/>
          <c:order val="6"/>
          <c:tx>
            <c:strRef>
              <c:f>Base.!$I$26</c:f>
              <c:strCache>
                <c:ptCount val="1"/>
                <c:pt idx="0">
                  <c:v>Meta A Dic 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Base.!$B$27:$B$32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Base.!$I$27:$I$32</c:f>
              <c:numCache>
                <c:formatCode>General</c:formatCode>
                <c:ptCount val="6"/>
                <c:pt idx="5" formatCode="_-* #,##0_-;\-* #,##0_-;_-* &quot;-&quot;??_-;_-@_-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3-4D7E-B9A7-E0E3AC23A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305472"/>
        <c:axId val="1005305952"/>
      </c:barChart>
      <c:catAx>
        <c:axId val="100530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305952"/>
        <c:crosses val="autoZero"/>
        <c:auto val="1"/>
        <c:lblAlgn val="ctr"/>
        <c:lblOffset val="100"/>
        <c:noMultiLvlLbl val="0"/>
      </c:catAx>
      <c:valAx>
        <c:axId val="10053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30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ysClr val="windowText" lastClr="000000"/>
                </a:solidFill>
              </a:rPr>
              <a:t>Avance $ proceso</a:t>
            </a:r>
          </a:p>
        </c:rich>
      </c:tx>
      <c:layout>
        <c:manualLayout>
          <c:xMode val="edge"/>
          <c:yMode val="edge"/>
          <c:x val="0.35856699834285299"/>
          <c:y val="2.66075295118356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'Base. (2)'!$H$13</c:f>
              <c:strCache>
                <c:ptCount val="1"/>
                <c:pt idx="0">
                  <c:v>META 2026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'Base. (2)'!$F$14:$F$20</c:f>
              <c:strCache>
                <c:ptCount val="7"/>
                <c:pt idx="0">
                  <c:v>NOMINA</c:v>
                </c:pt>
                <c:pt idx="1">
                  <c:v>RUTAS</c:v>
                </c:pt>
                <c:pt idx="2">
                  <c:v>ORDENES SERVICIOS</c:v>
                </c:pt>
                <c:pt idx="3">
                  <c:v>PODA</c:v>
                </c:pt>
                <c:pt idx="4">
                  <c:v>ENERGIA </c:v>
                </c:pt>
                <c:pt idx="5">
                  <c:v>INVENTARIOS</c:v>
                </c:pt>
                <c:pt idx="6">
                  <c:v>TOTAL</c:v>
                </c:pt>
              </c:strCache>
            </c:strRef>
          </c:cat>
          <c:val>
            <c:numRef>
              <c:f>'Base. (2)'!$H$14:$H$20</c:f>
              <c:numCache>
                <c:formatCode>_-"$"\ * #,##0_-;\-"$"\ * #,##0_-;_-"$"\ * "-"??_-;_-@_-</c:formatCode>
                <c:ptCount val="7"/>
                <c:pt idx="0">
                  <c:v>78</c:v>
                </c:pt>
                <c:pt idx="1">
                  <c:v>200</c:v>
                </c:pt>
                <c:pt idx="2">
                  <c:v>23.5</c:v>
                </c:pt>
                <c:pt idx="3">
                  <c:v>37</c:v>
                </c:pt>
                <c:pt idx="4">
                  <c:v>200</c:v>
                </c:pt>
                <c:pt idx="5">
                  <c:v>384</c:v>
                </c:pt>
                <c:pt idx="6">
                  <c:v>922.5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E-4762-9D24-CEF5B46BE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6397568"/>
        <c:axId val="1746396128"/>
      </c:barChart>
      <c:lineChart>
        <c:grouping val="standard"/>
        <c:varyColors val="0"/>
        <c:ser>
          <c:idx val="0"/>
          <c:order val="0"/>
          <c:tx>
            <c:strRef>
              <c:f>'Base. (2)'!$G$13</c:f>
              <c:strCache>
                <c:ptCount val="1"/>
                <c:pt idx="0">
                  <c:v>ACUMULADO MAYO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'Base. (2)'!$F$14:$F$20</c:f>
              <c:strCache>
                <c:ptCount val="7"/>
                <c:pt idx="0">
                  <c:v>NOMINA</c:v>
                </c:pt>
                <c:pt idx="1">
                  <c:v>RUTAS</c:v>
                </c:pt>
                <c:pt idx="2">
                  <c:v>ORDENES SERVICIOS</c:v>
                </c:pt>
                <c:pt idx="3">
                  <c:v>PODA</c:v>
                </c:pt>
                <c:pt idx="4">
                  <c:v>ENERGIA </c:v>
                </c:pt>
                <c:pt idx="5">
                  <c:v>INVENTARIOS</c:v>
                </c:pt>
                <c:pt idx="6">
                  <c:v>TOTAL</c:v>
                </c:pt>
              </c:strCache>
            </c:strRef>
          </c:cat>
          <c:val>
            <c:numRef>
              <c:f>'Base. (2)'!$G$14:$G$20</c:f>
              <c:numCache>
                <c:formatCode>_-"$"\ * #,##0_-;\-"$"\ * #,##0_-;_-"$"\ * "-"??_-;_-@_-</c:formatCode>
                <c:ptCount val="7"/>
                <c:pt idx="0">
                  <c:v>47</c:v>
                </c:pt>
                <c:pt idx="1">
                  <c:v>73</c:v>
                </c:pt>
                <c:pt idx="2">
                  <c:v>8.3610000000000007</c:v>
                </c:pt>
                <c:pt idx="3">
                  <c:v>15.32</c:v>
                </c:pt>
                <c:pt idx="4">
                  <c:v>93.582999999999998</c:v>
                </c:pt>
                <c:pt idx="5">
                  <c:v>113</c:v>
                </c:pt>
                <c:pt idx="6">
                  <c:v>350.26400000000001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E-4762-9D24-CEF5B46BE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397568"/>
        <c:axId val="1746396128"/>
      </c:lineChart>
      <c:catAx>
        <c:axId val="17463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6396128"/>
        <c:crosses val="autoZero"/>
        <c:auto val="1"/>
        <c:lblAlgn val="ctr"/>
        <c:lblOffset val="100"/>
        <c:noMultiLvlLbl val="0"/>
      </c:catAx>
      <c:valAx>
        <c:axId val="174639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639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Avance por proceso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'Base. (2)'!$G$31</c:f>
              <c:strCache>
                <c:ptCount val="1"/>
                <c:pt idx="0">
                  <c:v>MCI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'Base. (2)'!$F$32:$F$37</c:f>
              <c:strCache>
                <c:ptCount val="6"/>
                <c:pt idx="0">
                  <c:v>NOMINA</c:v>
                </c:pt>
                <c:pt idx="1">
                  <c:v>RUTAS</c:v>
                </c:pt>
                <c:pt idx="2">
                  <c:v>ORDENES SERVICIOS</c:v>
                </c:pt>
                <c:pt idx="3">
                  <c:v>PODA</c:v>
                </c:pt>
                <c:pt idx="4">
                  <c:v>ENERGIA </c:v>
                </c:pt>
                <c:pt idx="5">
                  <c:v>INVENTARIOS</c:v>
                </c:pt>
              </c:strCache>
            </c:strRef>
          </c:cat>
          <c:val>
            <c:numRef>
              <c:f>'Base. (2)'!$G$32:$G$37</c:f>
              <c:numCache>
                <c:formatCode>_-"$"\ * #,##0_-;\-"$"\ * #,##0_-;_-"$"\ * "-"??_-;_-@_-</c:formatCode>
                <c:ptCount val="6"/>
                <c:pt idx="0">
                  <c:v>78</c:v>
                </c:pt>
                <c:pt idx="1">
                  <c:v>200</c:v>
                </c:pt>
                <c:pt idx="2">
                  <c:v>23.5</c:v>
                </c:pt>
                <c:pt idx="3">
                  <c:v>37</c:v>
                </c:pt>
                <c:pt idx="4">
                  <c:v>200</c:v>
                </c:pt>
                <c:pt idx="5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3-455F-AEA4-7BFF4A441D92}"/>
            </c:ext>
          </c:extLst>
        </c:ser>
        <c:ser>
          <c:idx val="1"/>
          <c:order val="1"/>
          <c:tx>
            <c:strRef>
              <c:f>'Base. (2)'!$H$31</c:f>
              <c:strCache>
                <c:ptCount val="1"/>
                <c:pt idx="0">
                  <c:v>ESTIMADO A MAYO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'Base. (2)'!$F$32:$F$37</c:f>
              <c:strCache>
                <c:ptCount val="6"/>
                <c:pt idx="0">
                  <c:v>NOMINA</c:v>
                </c:pt>
                <c:pt idx="1">
                  <c:v>RUTAS</c:v>
                </c:pt>
                <c:pt idx="2">
                  <c:v>ORDENES SERVICIOS</c:v>
                </c:pt>
                <c:pt idx="3">
                  <c:v>PODA</c:v>
                </c:pt>
                <c:pt idx="4">
                  <c:v>ENERGIA </c:v>
                </c:pt>
                <c:pt idx="5">
                  <c:v>INVENTARIOS</c:v>
                </c:pt>
              </c:strCache>
            </c:strRef>
          </c:cat>
          <c:val>
            <c:numRef>
              <c:f>'Base. (2)'!$H$32:$H$37</c:f>
              <c:numCache>
                <c:formatCode>_-"$"\ * #,##0_-;\-"$"\ * #,##0_-;_-"$"\ * "-"??_-;_-@_-</c:formatCode>
                <c:ptCount val="6"/>
                <c:pt idx="0">
                  <c:v>32.5</c:v>
                </c:pt>
                <c:pt idx="1">
                  <c:v>83.333333333333343</c:v>
                </c:pt>
                <c:pt idx="2">
                  <c:v>9.7916666666666661</c:v>
                </c:pt>
                <c:pt idx="3">
                  <c:v>15.416666666666668</c:v>
                </c:pt>
                <c:pt idx="4">
                  <c:v>83.333333333333343</c:v>
                </c:pt>
                <c:pt idx="5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3-455F-AEA4-7BFF4A441D92}"/>
            </c:ext>
          </c:extLst>
        </c:ser>
        <c:ser>
          <c:idx val="2"/>
          <c:order val="2"/>
          <c:tx>
            <c:strRef>
              <c:f>'Base. (2)'!$I$31</c:f>
              <c:strCache>
                <c:ptCount val="1"/>
                <c:pt idx="0">
                  <c:v>EJECUTADO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'Base. (2)'!$F$32:$F$37</c:f>
              <c:strCache>
                <c:ptCount val="6"/>
                <c:pt idx="0">
                  <c:v>NOMINA</c:v>
                </c:pt>
                <c:pt idx="1">
                  <c:v>RUTAS</c:v>
                </c:pt>
                <c:pt idx="2">
                  <c:v>ORDENES SERVICIOS</c:v>
                </c:pt>
                <c:pt idx="3">
                  <c:v>PODA</c:v>
                </c:pt>
                <c:pt idx="4">
                  <c:v>ENERGIA </c:v>
                </c:pt>
                <c:pt idx="5">
                  <c:v>INVENTARIOS</c:v>
                </c:pt>
              </c:strCache>
            </c:strRef>
          </c:cat>
          <c:val>
            <c:numRef>
              <c:f>'Base. (2)'!$I$32:$I$37</c:f>
              <c:numCache>
                <c:formatCode>_-"$"\ * #,##0_-;\-"$"\ * #,##0_-;_-"$"\ * "-"??_-;_-@_-</c:formatCode>
                <c:ptCount val="6"/>
                <c:pt idx="0">
                  <c:v>47</c:v>
                </c:pt>
                <c:pt idx="1">
                  <c:v>73</c:v>
                </c:pt>
                <c:pt idx="2">
                  <c:v>8.3610000000000007</c:v>
                </c:pt>
                <c:pt idx="3">
                  <c:v>15.32</c:v>
                </c:pt>
                <c:pt idx="4">
                  <c:v>93.582999999999998</c:v>
                </c:pt>
                <c:pt idx="5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3-455F-AEA4-7BFF4A441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6395648"/>
        <c:axId val="1746413408"/>
      </c:barChart>
      <c:catAx>
        <c:axId val="174639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6413408"/>
        <c:crosses val="autoZero"/>
        <c:auto val="1"/>
        <c:lblAlgn val="ctr"/>
        <c:lblOffset val="100"/>
        <c:noMultiLvlLbl val="0"/>
      </c:catAx>
      <c:valAx>
        <c:axId val="174641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63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MCI DIR ADM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'Base. (3)'!$C$22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BE-45EE-A8FE-3037214CF5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'Base. (3)'!$B$23:$B$28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'Base. (3)'!$C$23:$C$28</c:f>
              <c:numCache>
                <c:formatCode>_-* #,##0_-;\-* #,##0_-;_-* "-"??_-;_-@_-</c:formatCode>
                <c:ptCount val="6"/>
                <c:pt idx="0">
                  <c:v>56.033000000000001</c:v>
                </c:pt>
                <c:pt idx="1">
                  <c:v>18.532</c:v>
                </c:pt>
                <c:pt idx="2">
                  <c:v>81.59</c:v>
                </c:pt>
                <c:pt idx="3">
                  <c:v>42.896999999999998</c:v>
                </c:pt>
                <c:pt idx="4">
                  <c:v>157.21199999999999</c:v>
                </c:pt>
                <c:pt idx="5">
                  <c:v>356.26400000000001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BE-45EE-A8FE-3037214CF52B}"/>
            </c:ext>
          </c:extLst>
        </c:ser>
        <c:ser>
          <c:idx val="1"/>
          <c:order val="1"/>
          <c:tx>
            <c:strRef>
              <c:f>'Base. (3)'!$D$22</c:f>
              <c:strCache>
                <c:ptCount val="1"/>
                <c:pt idx="0">
                  <c:v>Proyeccion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BE-45EE-A8FE-3037214CF5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'Base. (3)'!$B$23:$B$28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'Base. (3)'!$D$23:$D$28</c:f>
              <c:numCache>
                <c:formatCode>0</c:formatCode>
                <c:ptCount val="6"/>
                <c:pt idx="0">
                  <c:v>76.83</c:v>
                </c:pt>
                <c:pt idx="1">
                  <c:v>76.83</c:v>
                </c:pt>
                <c:pt idx="2">
                  <c:v>76.83</c:v>
                </c:pt>
                <c:pt idx="3">
                  <c:v>76.83</c:v>
                </c:pt>
                <c:pt idx="4">
                  <c:v>76.83</c:v>
                </c:pt>
                <c:pt idx="5" formatCode="_-* #,##0_-;\-* #,##0_-;_-* &quot;-&quot;??_-;_-@_-">
                  <c:v>384.15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BE-45EE-A8FE-3037214CF52B}"/>
            </c:ext>
          </c:extLst>
        </c:ser>
        <c:ser>
          <c:idx val="2"/>
          <c:order val="2"/>
          <c:tx>
            <c:strRef>
              <c:f>'Base. (3)'!$F$22</c:f>
              <c:strCache>
                <c:ptCount val="1"/>
                <c:pt idx="0">
                  <c:v>Meta A Dic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'Base. (3)'!$B$23:$B$28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'Base. (3)'!$F$23:$F$28</c:f>
              <c:numCache>
                <c:formatCode>General</c:formatCode>
                <c:ptCount val="6"/>
                <c:pt idx="5" formatCode="_-* #,##0_-;\-* #,##0_-;_-* &quot;-&quot;??_-;_-@_-">
                  <c:v>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BE-45EE-A8FE-3037214CF52B}"/>
            </c:ext>
          </c:extLst>
        </c:ser>
        <c:ser>
          <c:idx val="3"/>
          <c:order val="3"/>
          <c:tx>
            <c:strRef>
              <c:f>'Base. (2)'!#REF!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'Base. (3)'!$B$23:$B$28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TOTAL</c:v>
                </c:pt>
              </c:strCache>
            </c:strRef>
          </c:cat>
          <c:val>
            <c:numRef>
              <c:f>'Base.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BE-45EE-A8FE-3037214CF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921312"/>
        <c:axId val="867923232"/>
      </c:barChart>
      <c:catAx>
        <c:axId val="86792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7923232"/>
        <c:crosses val="autoZero"/>
        <c:auto val="1"/>
        <c:lblAlgn val="ctr"/>
        <c:lblOffset val="100"/>
        <c:noMultiLvlLbl val="0"/>
      </c:catAx>
      <c:valAx>
        <c:axId val="8679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79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480118-53D2-17BE-F233-632CC85BE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719666</xdr:colOff>
      <xdr:row>16</xdr:row>
      <xdr:rowOff>49390</xdr:rowOff>
    </xdr:from>
    <xdr:to>
      <xdr:col>18</xdr:col>
      <xdr:colOff>317500</xdr:colOff>
      <xdr:row>34</xdr:row>
      <xdr:rowOff>148168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6BDF62-8351-9D79-9182-441F55456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42334</xdr:rowOff>
    </xdr:from>
    <xdr:to>
      <xdr:col>0</xdr:col>
      <xdr:colOff>1259417</xdr:colOff>
      <xdr:row>10</xdr:row>
      <xdr:rowOff>42334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7A339A39-A538-4824-AEA8-C68D9319CEB4}"/>
            </a:ext>
          </a:extLst>
        </xdr:cNvPr>
        <xdr:cNvGrpSpPr/>
      </xdr:nvGrpSpPr>
      <xdr:grpSpPr>
        <a:xfrm>
          <a:off x="0" y="423334"/>
          <a:ext cx="1259417" cy="952500"/>
          <a:chOff x="259897" y="2476500"/>
          <a:chExt cx="1743075" cy="1742400"/>
        </a:xfrm>
        <a:solidFill>
          <a:schemeClr val="accent1"/>
        </a:solidFill>
      </xdr:grpSpPr>
      <xdr:grpSp>
        <xdr:nvGrpSpPr>
          <xdr:cNvPr id="10" name="Grupo 9">
            <a:extLst>
              <a:ext uri="{FF2B5EF4-FFF2-40B4-BE49-F238E27FC236}">
                <a16:creationId xmlns:a16="http://schemas.microsoft.com/office/drawing/2014/main" id="{768E023C-A845-920C-6C68-801D1B13A4AD}"/>
              </a:ext>
            </a:extLst>
          </xdr:cNvPr>
          <xdr:cNvGrpSpPr/>
        </xdr:nvGrpSpPr>
        <xdr:grpSpPr>
          <a:xfrm>
            <a:off x="259897" y="2476500"/>
            <a:ext cx="1743075" cy="1742400"/>
            <a:chOff x="250372" y="704850"/>
            <a:chExt cx="1743075" cy="1742400"/>
          </a:xfrm>
          <a:grpFill/>
        </xdr:grpSpPr>
        <xdr:sp macro="" textlink="$D$1">
          <xdr:nvSpPr>
            <xdr:cNvPr id="12" name="CuadroTexto 11">
              <a:extLst>
                <a:ext uri="{FF2B5EF4-FFF2-40B4-BE49-F238E27FC236}">
                  <a16:creationId xmlns:a16="http://schemas.microsoft.com/office/drawing/2014/main" id="{B1250AB6-2AE5-DD53-DE31-B885ADC73C49}"/>
                </a:ext>
              </a:extLst>
            </xdr:cNvPr>
            <xdr:cNvSpPr txBox="1"/>
          </xdr:nvSpPr>
          <xdr:spPr>
            <a:xfrm>
              <a:off x="250372" y="704850"/>
              <a:ext cx="1743075" cy="1742400"/>
            </a:xfrm>
            <a:prstGeom prst="rect">
              <a:avLst/>
            </a:prstGeom>
            <a:grpFill/>
            <a:ln>
              <a:noFill/>
            </a:ln>
            <a:effectLst>
              <a:softEdge rad="31750"/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b" anchorCtr="0">
              <a:noAutofit/>
            </a:bodyPr>
            <a:lstStyle/>
            <a:p>
              <a:pPr algn="r"/>
              <a:fld id="{C514DD69-289D-4500-990D-20199A64CB3A}" type="TxLink">
                <a:rPr lang="en-US" sz="28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42%</a:t>
              </a:fld>
              <a:endParaRPr lang="es-PE" sz="13800" b="1">
                <a:solidFill>
                  <a:sysClr val="windowText" lastClr="000000"/>
                </a:solidFill>
                <a:latin typeface="Roboto"/>
              </a:endParaRP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397959DF-5034-ED12-15F0-18FF66157950}"/>
                </a:ext>
              </a:extLst>
            </xdr:cNvPr>
            <xdr:cNvSpPr txBox="1"/>
          </xdr:nvSpPr>
          <xdr:spPr>
            <a:xfrm>
              <a:off x="402526" y="768802"/>
              <a:ext cx="1270331" cy="545570"/>
            </a:xfrm>
            <a:prstGeom prst="rect">
              <a:avLst/>
            </a:prstGeom>
            <a:grp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s-PE" sz="1400" b="1">
                  <a:solidFill>
                    <a:sysClr val="windowText" lastClr="000000"/>
                  </a:solidFill>
                </a:rPr>
                <a:t>Avance MCI</a:t>
              </a:r>
            </a:p>
          </xdr:txBody>
        </xdr:sp>
      </xdr:grpSp>
      <xdr:pic>
        <xdr:nvPicPr>
          <xdr:cNvPr id="11" name="Gráfico 10" descr="Batería completa">
            <a:extLst>
              <a:ext uri="{FF2B5EF4-FFF2-40B4-BE49-F238E27FC236}">
                <a16:creationId xmlns:a16="http://schemas.microsoft.com/office/drawing/2014/main" id="{B90329E7-31DA-D11A-9C80-FBE087A18A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62523" y="2818207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1291167</xdr:colOff>
      <xdr:row>5</xdr:row>
      <xdr:rowOff>105833</xdr:rowOff>
    </xdr:from>
    <xdr:to>
      <xdr:col>1</xdr:col>
      <xdr:colOff>592668</xdr:colOff>
      <xdr:row>10</xdr:row>
      <xdr:rowOff>31750</xdr:rowOff>
    </xdr:to>
    <xdr:sp macro="" textlink="$G$20">
      <xdr:nvSpPr>
        <xdr:cNvPr id="14" name="CuadroTexto 13">
          <a:extLst>
            <a:ext uri="{FF2B5EF4-FFF2-40B4-BE49-F238E27FC236}">
              <a16:creationId xmlns:a16="http://schemas.microsoft.com/office/drawing/2014/main" id="{B0E961F3-3B80-440A-8BB2-F56000241DFD}"/>
            </a:ext>
          </a:extLst>
        </xdr:cNvPr>
        <xdr:cNvSpPr txBox="1"/>
      </xdr:nvSpPr>
      <xdr:spPr>
        <a:xfrm>
          <a:off x="1291167" y="486833"/>
          <a:ext cx="1280584" cy="878417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  <a:effectLst>
          <a:softEdge rad="3175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 anchorCtr="0">
          <a:noAutofit/>
        </a:bodyPr>
        <a:lstStyle/>
        <a:p>
          <a:pPr algn="r"/>
          <a:fld id="{33612EE6-3019-4114-AE5D-4383ABE83716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$ 350 </a:t>
          </a:fld>
          <a:endParaRPr lang="es-PE" sz="41300" b="1">
            <a:solidFill>
              <a:schemeClr val="bg1"/>
            </a:solidFill>
            <a:latin typeface="Roboto"/>
          </a:endParaRPr>
        </a:p>
      </xdr:txBody>
    </xdr:sp>
    <xdr:clientData/>
  </xdr:twoCellAnchor>
  <xdr:twoCellAnchor>
    <xdr:from>
      <xdr:col>0</xdr:col>
      <xdr:colOff>963083</xdr:colOff>
      <xdr:row>5</xdr:row>
      <xdr:rowOff>74083</xdr:rowOff>
    </xdr:from>
    <xdr:to>
      <xdr:col>1</xdr:col>
      <xdr:colOff>534601</xdr:colOff>
      <xdr:row>6</xdr:row>
      <xdr:rowOff>116416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51FDF371-C982-4A50-AFD6-D0FFE4B6A721}"/>
            </a:ext>
          </a:extLst>
        </xdr:cNvPr>
        <xdr:cNvSpPr txBox="1"/>
      </xdr:nvSpPr>
      <xdr:spPr>
        <a:xfrm>
          <a:off x="963083" y="455083"/>
          <a:ext cx="1550601" cy="2328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PE" sz="1400" b="1">
              <a:solidFill>
                <a:sysClr val="windowText" lastClr="000000"/>
              </a:solidFill>
            </a:rPr>
            <a:t>Ahorro</a:t>
          </a:r>
          <a:r>
            <a:rPr lang="es-PE" sz="1400" b="1" baseline="0">
              <a:solidFill>
                <a:sysClr val="windowText" lastClr="000000"/>
              </a:solidFill>
            </a:rPr>
            <a:t> $ </a:t>
          </a:r>
          <a:endParaRPr lang="es-PE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370415</xdr:colOff>
      <xdr:row>10</xdr:row>
      <xdr:rowOff>74084</xdr:rowOff>
    </xdr:from>
    <xdr:to>
      <xdr:col>4</xdr:col>
      <xdr:colOff>709084</xdr:colOff>
      <xdr:row>25</xdr:row>
      <xdr:rowOff>158750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5D5AB13-FEFA-4874-93B4-0CA9C9FE8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357187</xdr:colOff>
      <xdr:row>26</xdr:row>
      <xdr:rowOff>126999</xdr:rowOff>
    </xdr:from>
    <xdr:to>
      <xdr:col>4</xdr:col>
      <xdr:colOff>916781</xdr:colOff>
      <xdr:row>42</xdr:row>
      <xdr:rowOff>47624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DC347170-9F5A-46A8-91DB-B8E37736B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941918</xdr:colOff>
      <xdr:row>20</xdr:row>
      <xdr:rowOff>4234</xdr:rowOff>
    </xdr:from>
    <xdr:to>
      <xdr:col>10</xdr:col>
      <xdr:colOff>687918</xdr:colOff>
      <xdr:row>34</xdr:row>
      <xdr:rowOff>80434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30706B-611F-40D1-8B73-1C4D468F6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 Andres Bedoya Rios" refreshedDate="46153.32421111111" createdVersion="8" refreshedVersion="8" minRefreshableVersion="3" recordCount="13" xr:uid="{5E65E258-36DF-4FEF-A126-C5965A1DD54A}">
  <cacheSource type="worksheet">
    <worksheetSource ref="A2:M15" sheet="Base."/>
  </cacheSource>
  <cacheFields count="13">
    <cacheField name="AÑO" numFmtId="0">
      <sharedItems containsString="0" containsBlank="1" containsNumber="1" containsInteger="1" minValue="2025" maxValue="2025" count="2">
        <n v="2025"/>
        <m/>
      </sharedItems>
    </cacheField>
    <cacheField name="MES" numFmtId="0">
      <sharedItems containsBlank="1" count="13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m/>
      </sharedItems>
    </cacheField>
    <cacheField name="BASICAS" numFmtId="164">
      <sharedItems containsSemiMixedTypes="0" containsString="0" containsNumber="1" minValue="313632889.41600001" maxValue="4074061931.9423842"/>
    </cacheField>
    <cacheField name="ADICIONALES" numFmtId="164">
      <sharedItems containsSemiMixedTypes="0" containsString="0" containsNumber="1" minValue="13924177" maxValue="407491460.58276933"/>
    </cacheField>
    <cacheField name="DTOS" numFmtId="164">
      <sharedItems containsString="0" containsBlank="1" containsNumber="1" containsInteger="1" minValue="15117823" maxValue="95234196"/>
    </cacheField>
    <cacheField name="TOTAL" numFmtId="164">
      <sharedItems containsSemiMixedTypes="0" containsString="0" containsNumber="1" minValue="335084588.03599995" maxValue="4481553392.5251541"/>
    </cacheField>
    <cacheField name="Columna1" numFmtId="164">
      <sharedItems containsSemiMixedTypes="0" containsString="0" containsNumber="1" minValue="13924177" maxValue="502725656.58276933"/>
    </cacheField>
    <cacheField name="AÑO2" numFmtId="0">
      <sharedItems containsString="0" containsBlank="1" containsNumber="1" containsInteger="1" minValue="2026" maxValue="2026"/>
    </cacheField>
    <cacheField name="MES2" numFmtId="0">
      <sharedItems containsBlank="1"/>
    </cacheField>
    <cacheField name="BASICAS2" numFmtId="164">
      <sharedItems containsString="0" containsBlank="1" containsNumber="1" minValue="331309363.4206599" maxValue="1394109404.0044796"/>
    </cacheField>
    <cacheField name="ADICIONALES2" numFmtId="164">
      <sharedItems containsString="0" containsBlank="1" containsNumber="1" minValue="13110137.788717866" maxValue="122142751.23241788"/>
    </cacheField>
    <cacheField name="DTOS2" numFmtId="164">
      <sharedItems containsString="0" containsBlank="1" containsNumber="1" containsInteger="1" minValue="15117823" maxValue="95234196"/>
    </cacheField>
    <cacheField name="TOTAL2" numFmtId="164">
      <sharedItems containsSemiMixedTypes="0" containsString="0" containsNumber="1" minValue="0" maxValue="1516252155.23689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351141674.13999999"/>
    <n v="55247645.07"/>
    <n v="15346915"/>
    <n v="406389319.20999998"/>
    <n v="70594560.069999993"/>
    <n v="2026"/>
    <s v="Enero"/>
    <n v="363668102.94249994"/>
    <n v="42802614"/>
    <n v="15346915"/>
    <n v="406470716.94249994"/>
  </r>
  <r>
    <x v="0"/>
    <x v="1"/>
    <n v="329604705.32999998"/>
    <n v="15637677"/>
    <n v="34190724"/>
    <n v="345242382.32999998"/>
    <n v="49828401"/>
    <n v="2026"/>
    <s v="Febrero"/>
    <n v="331309363.4206599"/>
    <n v="16417777.153580001"/>
    <n v="34190724"/>
    <n v="347727140.57423991"/>
  </r>
  <r>
    <x v="0"/>
    <x v="2"/>
    <n v="351458129"/>
    <n v="45581647"/>
    <n v="15117823"/>
    <n v="397039776"/>
    <n v="60699470"/>
    <n v="2026"/>
    <s v="Marzo"/>
    <n v="356976904.82065994"/>
    <n v="13110137.788717866"/>
    <n v="15117823"/>
    <n v="370087042.6093778"/>
  </r>
  <r>
    <x v="0"/>
    <x v="3"/>
    <n v="334440500.84799999"/>
    <n v="78410015.146307737"/>
    <n v="30578734"/>
    <n v="412850515.99430776"/>
    <n v="108988749.14630774"/>
    <n v="2026"/>
    <s v="Abril"/>
    <n v="342155032.82065994"/>
    <n v="49812222.290120006"/>
    <n v="30578734"/>
    <n v="391967255.11077994"/>
  </r>
  <r>
    <x v="0"/>
    <x v="4"/>
    <n v="364231758.03599995"/>
    <n v="15927243.615230858"/>
    <m/>
    <n v="380159001.65123081"/>
    <n v="15927243.615230858"/>
    <n v="2026"/>
    <s v="Mayo"/>
    <m/>
    <m/>
    <m/>
    <n v="0"/>
  </r>
  <r>
    <x v="0"/>
    <x v="5"/>
    <n v="315434353.03599995"/>
    <n v="19650235"/>
    <m/>
    <n v="335084588.03599995"/>
    <n v="19650235"/>
    <n v="2026"/>
    <s v="Junio"/>
    <m/>
    <m/>
    <m/>
    <n v="0"/>
  </r>
  <r>
    <x v="0"/>
    <x v="6"/>
    <n v="338676038.00769228"/>
    <n v="13924177"/>
    <m/>
    <n v="352600215.00769228"/>
    <n v="13924177"/>
    <n v="2026"/>
    <s v="Julio"/>
    <m/>
    <m/>
    <m/>
    <n v="0"/>
  </r>
  <r>
    <x v="0"/>
    <x v="7"/>
    <n v="318967226.07623076"/>
    <n v="20088558"/>
    <m/>
    <n v="339055784.07623076"/>
    <n v="20088558"/>
    <n v="2026"/>
    <s v="Agosto"/>
    <m/>
    <m/>
    <m/>
    <n v="0"/>
  </r>
  <r>
    <x v="0"/>
    <x v="8"/>
    <n v="358810211.06400001"/>
    <n v="42704705"/>
    <m/>
    <n v="401514916.06400001"/>
    <n v="42704705"/>
    <n v="2026"/>
    <s v="Septiembre"/>
    <m/>
    <m/>
    <m/>
    <n v="0"/>
  </r>
  <r>
    <x v="0"/>
    <x v="9"/>
    <n v="354242827.91600001"/>
    <n v="21154406"/>
    <m/>
    <n v="375397233.91600001"/>
    <n v="21154406"/>
    <n v="2026"/>
    <s v="Octubre"/>
    <m/>
    <m/>
    <m/>
    <n v="0"/>
  </r>
  <r>
    <x v="0"/>
    <x v="10"/>
    <n v="313632889.41600001"/>
    <n v="35338334"/>
    <m/>
    <n v="348971223.41600001"/>
    <n v="35338334"/>
    <n v="2026"/>
    <s v="Noviembre"/>
    <m/>
    <m/>
    <m/>
    <n v="0"/>
  </r>
  <r>
    <x v="0"/>
    <x v="11"/>
    <n v="343421619.07246155"/>
    <n v="43826817.751230799"/>
    <m/>
    <n v="387248436.82369232"/>
    <n v="43826817.751230799"/>
    <n v="2026"/>
    <s v="Diciembre"/>
    <m/>
    <m/>
    <m/>
    <n v="0"/>
  </r>
  <r>
    <x v="1"/>
    <x v="12"/>
    <n v="4074061931.9423842"/>
    <n v="407491460.58276933"/>
    <n v="95234196"/>
    <n v="4481553392.5251541"/>
    <n v="502725656.58276933"/>
    <m/>
    <m/>
    <n v="1394109404.0044796"/>
    <n v="122142751.23241788"/>
    <n v="95234196"/>
    <n v="1516252155.23689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7E53B-4AD3-4D4E-931A-C437C84C406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17" firstHeaderRow="1" firstDataRow="1" firstDataCol="1"/>
  <pivotFields count="13">
    <pivotField axis="axisRow" dataField="1" showAll="0">
      <items count="3">
        <item x="0"/>
        <item x="1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numFmtId="164" showAll="0"/>
  </pivotFields>
  <rowFields count="2">
    <field x="0"/>
    <field x="1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t="grand">
      <x/>
    </i>
  </rowItems>
  <colItems count="1">
    <i/>
  </colItems>
  <dataFields count="1">
    <dataField name="Suma de AÑO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11B88-B5BA-4E6F-AC30-8C16EEC2BAB1}" name="Tabla1" displayName="Tabla1" ref="A1:F17" totalsRowShown="0">
  <autoFilter ref="A1:F17" xr:uid="{22011B88-B5BA-4E6F-AC30-8C16EEC2BAB1}"/>
  <tableColumns count="6">
    <tableColumn id="1" xr3:uid="{DF82C22C-69AF-4D29-BE74-0AB2CE20AA3E}" name="Año"/>
    <tableColumn id="2" xr3:uid="{55E2F6A6-02EE-4CE8-A102-299E4BA54EE6}" name="Mes"/>
    <tableColumn id="3" xr3:uid="{D984D57B-9600-4B9F-8642-A786A18DC5B9}" name="Rutas Basicas"/>
    <tableColumn id="4" xr3:uid="{0B8DB355-A4DD-4CA9-B002-0593FDCE7267}" name="Rutas Adicionales"/>
    <tableColumn id="5" xr3:uid="{CF453F8F-F07B-47D0-8E63-6D8E357CE62E}" name="Descuentos"/>
    <tableColumn id="6" xr3:uid="{BCAECD35-7ED5-4CBB-9394-9195EEAE4882}" name="Total" dataDxfId="62">
      <calculatedColumnFormula>+Tabla1[[#This Row],[Rutas Basicas]]+Tabla1[[#This Row],[Rutas Adicionales]]-Tabla1[[#This Row],[Descuentos]]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74DFDD-4BC4-43BE-87A5-1DB7807DE50A}" name="Tabla2" displayName="Tabla2" ref="A2:G16" totalsRowCount="1" headerRowDxfId="61" dataDxfId="60" dataCellStyle="Moneda">
  <tableColumns count="7">
    <tableColumn id="1" xr3:uid="{9F2956DB-752E-43CE-85E3-83FC432385B6}" name="AÑO" dataDxfId="59" totalsRowDxfId="58"/>
    <tableColumn id="2" xr3:uid="{719A5B58-3A72-4B95-A853-3C868DEDBBF2}" name="MES" dataDxfId="57" totalsRowDxfId="56"/>
    <tableColumn id="3" xr3:uid="{E3060F3B-A23A-4DA9-AF32-32DF5FA4B807}" name="BASICAS" dataDxfId="55" totalsRowDxfId="54" dataCellStyle="Moneda" totalsRowCellStyle="Moneda"/>
    <tableColumn id="4" xr3:uid="{45E53105-92EA-407B-B1EB-32D9D0E5A681}" name="ADICIONALES" dataDxfId="53" totalsRowDxfId="52" dataCellStyle="Moneda" totalsRowCellStyle="Moneda"/>
    <tableColumn id="5" xr3:uid="{16842BE4-8099-4271-BBAE-DB6169105DC2}" name="DTOS" dataDxfId="51" totalsRowDxfId="50" dataCellStyle="Moneda" totalsRowCellStyle="Moneda"/>
    <tableColumn id="6" xr3:uid="{6DEAC3BD-6281-498B-B10E-55F43DAFDADF}" name="TOTAL" dataDxfId="49" totalsRowDxfId="48" dataCellStyle="Moneda" totalsRowCellStyle="Moneda">
      <calculatedColumnFormula>+C3+D3</calculatedColumnFormula>
    </tableColumn>
    <tableColumn id="7" xr3:uid="{20F5E471-5D49-4F43-B902-5034D9F2C908}" name="Columna1" dataDxfId="47" totalsRowDxfId="46" dataCellStyle="Moneda" totalsRowCellStyle="Moneda">
      <calculatedColumnFormula>+D3+E3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679F34-C0C8-48C9-9E41-6034CEC0FEDB}" name="Tabla25" displayName="Tabla25" ref="A3:J20" totalsRowShown="0" dataDxfId="45" dataCellStyle="Moneda">
  <tableColumns count="10">
    <tableColumn id="1" xr3:uid="{526CF061-8893-4326-8250-90E36005FEFA}" name="AÑO" dataDxfId="44"/>
    <tableColumn id="2" xr3:uid="{4B4A3E17-5857-4C8A-9E73-CD234327617C}" name="MES" dataDxfId="43"/>
    <tableColumn id="7" xr3:uid="{182FCD7A-8060-4822-9B90-B116371DC4C7}" name="N° PERSONAS" dataDxfId="42"/>
    <tableColumn id="3" xr3:uid="{75A39BD0-92DA-489C-BBF5-20E28668284F}" name="BASICAS" dataDxfId="41" dataCellStyle="Moneda"/>
    <tableColumn id="4" xr3:uid="{C8CFF361-FCB9-4C98-BC75-794B9C880245}" name="ADICIONALES" dataDxfId="40" dataCellStyle="Moneda"/>
    <tableColumn id="6" xr3:uid="{EFEE65B8-4152-43F7-A1EC-D620C304444E}" name="TOTAL" dataDxfId="39" dataCellStyle="Moneda"/>
    <tableColumn id="5" xr3:uid="{45A18AD9-2D52-4CCA-8F03-319373F88E27}" name="Columna1" dataDxfId="38" dataCellStyle="Moneda"/>
    <tableColumn id="8" xr3:uid="{74BB8526-B58D-4875-B3D8-8C156B604FBB}" name="Columna2" dataDxfId="37" dataCellStyle="Moneda"/>
    <tableColumn id="9" xr3:uid="{5F769758-A9B6-4306-B092-99C17B1C6FF3}" name="Columna3" dataDxfId="36" dataCellStyle="Moneda"/>
    <tableColumn id="10" xr3:uid="{A65A361D-2A1C-4EA9-A031-CAEF06AC9511}" name="Columna4" dataDxfId="35" dataCellStyle="Moned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BB9C1C-205F-4F01-B123-DE128B52A384}" name="Tabla24" displayName="Tabla24" ref="A45:H58" totalsRowShown="0" headerRowDxfId="1" dataDxfId="0" dataCellStyle="Moneda">
  <tableColumns count="8">
    <tableColumn id="1" xr3:uid="{92A9E146-35C4-474E-B48D-2338E97BD2FF}" name="AÑO" dataDxfId="9" totalsRowDxfId="17"/>
    <tableColumn id="2" xr3:uid="{9FDDF7D2-6140-467B-8DE0-C514E2B3BBAD}" name="MES" dataDxfId="8" totalsRowDxfId="16"/>
    <tableColumn id="3" xr3:uid="{CC2A9D13-761B-436C-A31E-C64EBA8FB97A}" name="NOMINA" dataDxfId="7" totalsRowDxfId="15" dataCellStyle="Moneda" totalsRowCellStyle="Moneda"/>
    <tableColumn id="4" xr3:uid="{481B8C36-22EB-46DF-B3F9-6F3A3C85DEF2}" name="RUTAS" dataDxfId="6" totalsRowDxfId="14" dataCellStyle="Moneda" totalsRowCellStyle="Moneda"/>
    <tableColumn id="6" xr3:uid="{FC47105D-3E81-49CA-9771-3067519C92B9}" name="ORDENES SERVICIOS" dataDxfId="5" totalsRowDxfId="13" dataCellStyle="Moneda" totalsRowCellStyle="Moneda"/>
    <tableColumn id="8" xr3:uid="{DD56BC8C-C812-4034-997E-9D4FD9A15B3C}" name="PODA" dataDxfId="4" totalsRowDxfId="12" dataCellStyle="Moneda" totalsRowCellStyle="Moneda"/>
    <tableColumn id="9" xr3:uid="{9DE17ABF-B867-4B5E-BFB7-8C43DDDC0209}" name="ENERGIA " dataDxfId="3" totalsRowDxfId="11" dataCellStyle="Moneda" totalsRowCellStyle="Moneda"/>
    <tableColumn id="10" xr3:uid="{B2CA8758-26FD-40B0-B132-ECC104CD2AE8}" name="INVENTARIOS" dataDxfId="2" totalsRowDxfId="10" dataCellStyle="Moneda" totalsRowCellStyle="Moned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C6E6C5-1817-461A-BFF3-1D94563A5770}" name="Tabla246" displayName="Tabla246" ref="A4:H18" totalsRowCount="1" headerRowDxfId="34" dataDxfId="33" dataCellStyle="Moneda">
  <tableColumns count="8">
    <tableColumn id="1" xr3:uid="{36654EDC-6BDF-49C0-889C-F675AF41B1DA}" name="AÑO" dataDxfId="31" totalsRowDxfId="32"/>
    <tableColumn id="2" xr3:uid="{DAD93244-DB0B-40E6-B8FC-DEE6672D1076}" name="MES" dataDxfId="29" totalsRowDxfId="30"/>
    <tableColumn id="3" xr3:uid="{57B763B9-6521-4389-B566-A32ACE3DE386}" name="NOMINA" dataDxfId="27" totalsRowDxfId="28" dataCellStyle="Moneda"/>
    <tableColumn id="4" xr3:uid="{AAB7BDD9-4072-4038-81DF-5A56F1734954}" name="RUTAS" dataDxfId="25" totalsRowDxfId="26" dataCellStyle="Moneda"/>
    <tableColumn id="6" xr3:uid="{D3748FD1-C72E-4BAB-8A30-D13AE1B342D1}" name="ORDENES SERVICIOS" dataDxfId="23" totalsRowDxfId="24" dataCellStyle="Moneda"/>
    <tableColumn id="8" xr3:uid="{6C5AA043-99AD-4B0B-ABFB-B7B749BC80E4}" name="PODA" dataDxfId="21" totalsRowDxfId="22" dataCellStyle="Moneda"/>
    <tableColumn id="9" xr3:uid="{2EF31727-A758-4E0A-BCDF-D95FCD9AA42D}" name="ENERGIA " dataDxfId="19" totalsRowDxfId="20" dataCellStyle="Moneda"/>
    <tableColumn id="10" xr3:uid="{A140E1FD-2F2C-47F6-AD20-796C92FFF27A}" name="INVENTARIOS" dataDxfId="18" dataCellStyle="Mon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ABB4C0-83EF-416D-939D-F3B4D04626CE}">
  <we:reference id="WA104100404" version="3.0.0.1" store="Omex" storeType="OMEX"/>
  <we:alternateReferences>
    <we:reference id="WA104100404" version="3.0.0.1" store="WA104100404" storeType="OMEX"/>
  </we:alternateReferences>
  <we:properties>
    <we:property name="UniqueID" value="&quot;2026430178013954388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98E8-1857-44F8-95A5-ADB1A453416D}">
  <dimension ref="A1:F19"/>
  <sheetViews>
    <sheetView workbookViewId="0">
      <selection activeCell="C2" sqref="C2"/>
    </sheetView>
  </sheetViews>
  <sheetFormatPr baseColWidth="10" defaultRowHeight="15" x14ac:dyDescent="0.25"/>
  <cols>
    <col min="3" max="3" width="16.7109375" bestFit="1" customWidth="1"/>
    <col min="4" max="4" width="18.7109375" customWidth="1"/>
    <col min="5" max="6" width="1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</row>
    <row r="2" spans="1:6" x14ac:dyDescent="0.25">
      <c r="A2">
        <v>2024</v>
      </c>
      <c r="B2" t="s">
        <v>4</v>
      </c>
      <c r="C2" s="1">
        <f>331320679.283</f>
        <v>331320679.28299999</v>
      </c>
      <c r="D2" s="1">
        <f>56796101</f>
        <v>56796101</v>
      </c>
      <c r="E2" s="1">
        <v>1279744</v>
      </c>
      <c r="F2" s="1">
        <f>+Tabla1[[#This Row],[Rutas Basicas]]+Tabla1[[#This Row],[Rutas Adicionales]]-Tabla1[[#This Row],[Descuentos]]</f>
        <v>386837036.28299999</v>
      </c>
    </row>
    <row r="3" spans="1:6" x14ac:dyDescent="0.25">
      <c r="A3">
        <v>2024</v>
      </c>
      <c r="B3" t="s">
        <v>5</v>
      </c>
      <c r="C3" s="1">
        <v>331832043.28320003</v>
      </c>
      <c r="D3" s="1">
        <v>41055689.000000015</v>
      </c>
      <c r="E3" s="1">
        <v>1903173</v>
      </c>
      <c r="F3" s="1">
        <f>+Tabla1[[#This Row],[Rutas Basicas]]+Tabla1[[#This Row],[Rutas Adicionales]]-Tabla1[[#This Row],[Descuentos]]</f>
        <v>370984559.28320003</v>
      </c>
    </row>
    <row r="4" spans="1:6" x14ac:dyDescent="0.25">
      <c r="A4">
        <v>2024</v>
      </c>
      <c r="B4" t="s">
        <v>6</v>
      </c>
      <c r="C4" s="1">
        <v>341740938.28319997</v>
      </c>
      <c r="D4" s="1">
        <v>38675644</v>
      </c>
      <c r="E4" s="1">
        <v>135906</v>
      </c>
      <c r="F4" s="1">
        <f>+Tabla1[[#This Row],[Rutas Basicas]]+Tabla1[[#This Row],[Rutas Adicionales]]-Tabla1[[#This Row],[Descuentos]]</f>
        <v>380280676.28319997</v>
      </c>
    </row>
    <row r="5" spans="1:6" x14ac:dyDescent="0.25">
      <c r="A5">
        <v>2024</v>
      </c>
      <c r="B5" t="s">
        <v>7</v>
      </c>
      <c r="C5" s="1">
        <v>343985403.27999997</v>
      </c>
      <c r="D5" s="1">
        <f>910000+1892000+5040000+4500000+42829489</f>
        <v>55171489</v>
      </c>
      <c r="E5" s="1">
        <v>718498</v>
      </c>
      <c r="F5" s="1">
        <f>+Tabla1[[#This Row],[Rutas Basicas]]+Tabla1[[#This Row],[Rutas Adicionales]]-Tabla1[[#This Row],[Descuentos]]</f>
        <v>398438394.27999997</v>
      </c>
    </row>
    <row r="6" spans="1:6" x14ac:dyDescent="0.25">
      <c r="A6">
        <v>2024</v>
      </c>
      <c r="B6" t="s">
        <v>8</v>
      </c>
      <c r="C6" s="1">
        <v>340816839.28319991</v>
      </c>
      <c r="D6" s="1">
        <f>13574783+910000</f>
        <v>14484783</v>
      </c>
      <c r="E6" s="1">
        <v>14323713</v>
      </c>
      <c r="F6" s="1">
        <f>+Tabla1[[#This Row],[Rutas Basicas]]+Tabla1[[#This Row],[Rutas Adicionales]]-Tabla1[[#This Row],[Descuentos]]</f>
        <v>340977909.28319991</v>
      </c>
    </row>
    <row r="7" spans="1:6" x14ac:dyDescent="0.25">
      <c r="A7">
        <v>2024</v>
      </c>
      <c r="B7" t="s">
        <v>9</v>
      </c>
      <c r="C7" s="1">
        <f>343821730-910000-2153846</f>
        <v>340757884</v>
      </c>
      <c r="D7" s="1">
        <f>2153846+910000+36746592.54</f>
        <v>39810438.539999999</v>
      </c>
      <c r="E7" s="1">
        <v>26616156</v>
      </c>
      <c r="F7" s="1">
        <f>+Tabla1[[#This Row],[Rutas Basicas]]+Tabla1[[#This Row],[Rutas Adicionales]]-Tabla1[[#This Row],[Descuentos]]</f>
        <v>353952166.54000002</v>
      </c>
    </row>
    <row r="8" spans="1:6" x14ac:dyDescent="0.25">
      <c r="A8">
        <v>2024</v>
      </c>
      <c r="B8" t="s">
        <v>10</v>
      </c>
      <c r="C8" s="1">
        <f>344002109-875000-2369224</f>
        <v>340757885</v>
      </c>
      <c r="D8" s="1">
        <f>40324150+875000+2369224</f>
        <v>43568374</v>
      </c>
      <c r="E8" s="1">
        <v>13230850</v>
      </c>
      <c r="F8" s="1">
        <f>+Tabla1[[#This Row],[Rutas Basicas]]+Tabla1[[#This Row],[Rutas Adicionales]]-Tabla1[[#This Row],[Descuentos]]</f>
        <v>371095409</v>
      </c>
    </row>
    <row r="9" spans="1:6" x14ac:dyDescent="0.25">
      <c r="A9">
        <v>2024</v>
      </c>
      <c r="B9" t="s">
        <v>11</v>
      </c>
      <c r="C9" s="1">
        <v>341434520</v>
      </c>
      <c r="D9" s="1">
        <v>34608726.546597913</v>
      </c>
      <c r="E9" s="1">
        <v>26461700</v>
      </c>
      <c r="F9" s="1">
        <f>+Tabla1[[#This Row],[Rutas Basicas]]+Tabla1[[#This Row],[Rutas Adicionales]]-Tabla1[[#This Row],[Descuentos]]</f>
        <v>349581546.5465979</v>
      </c>
    </row>
    <row r="10" spans="1:6" x14ac:dyDescent="0.25">
      <c r="A10">
        <v>2024</v>
      </c>
      <c r="B10" t="s">
        <v>12</v>
      </c>
      <c r="C10" s="1">
        <f>346226960-840000-4092315</f>
        <v>341294645</v>
      </c>
      <c r="D10" s="1">
        <f>840000+4092315+24405152.85</f>
        <v>29337467.850000001</v>
      </c>
      <c r="E10" s="1">
        <v>16453314</v>
      </c>
      <c r="F10" s="1">
        <f>+Tabla1[[#This Row],[Rutas Basicas]]+Tabla1[[#This Row],[Rutas Adicionales]]-Tabla1[[#This Row],[Descuentos]]</f>
        <v>354178798.85000002</v>
      </c>
    </row>
    <row r="11" spans="1:6" x14ac:dyDescent="0.25">
      <c r="A11">
        <v>2024</v>
      </c>
      <c r="B11" t="s">
        <v>13</v>
      </c>
      <c r="C11" s="1">
        <f>342564366-910000</f>
        <v>341654366</v>
      </c>
      <c r="D11" s="1">
        <f>910000+38073720</f>
        <v>38983720</v>
      </c>
      <c r="E11" s="1">
        <v>0</v>
      </c>
      <c r="F11" s="1">
        <f>+Tabla1[[#This Row],[Rutas Basicas]]+Tabla1[[#This Row],[Rutas Adicionales]]-Tabla1[[#This Row],[Descuentos]]</f>
        <v>380638086</v>
      </c>
    </row>
    <row r="12" spans="1:6" x14ac:dyDescent="0.25">
      <c r="A12">
        <v>2024</v>
      </c>
      <c r="B12" t="s">
        <v>14</v>
      </c>
      <c r="C12" s="1">
        <f>350379736-840000</f>
        <v>349539736</v>
      </c>
      <c r="D12" s="1">
        <f>840000+60852276.46</f>
        <v>61692276.460000001</v>
      </c>
      <c r="E12" s="1">
        <v>27249373</v>
      </c>
      <c r="F12" s="1">
        <f>+Tabla1[[#This Row],[Rutas Basicas]]+Tabla1[[#This Row],[Rutas Adicionales]]-Tabla1[[#This Row],[Descuentos]]</f>
        <v>383982639.45999998</v>
      </c>
    </row>
    <row r="13" spans="1:6" x14ac:dyDescent="0.25">
      <c r="A13">
        <v>2024</v>
      </c>
      <c r="B13" t="s">
        <v>15</v>
      </c>
      <c r="C13" s="1">
        <f>356730682-3850000-875000</f>
        <v>352005682</v>
      </c>
      <c r="D13" s="1">
        <f>3850000+875000+18964274.62</f>
        <v>23689274.620000001</v>
      </c>
      <c r="E13" s="1">
        <v>14449454</v>
      </c>
      <c r="F13" s="1">
        <f>+Tabla1[[#This Row],[Rutas Basicas]]+Tabla1[[#This Row],[Rutas Adicionales]]-Tabla1[[#This Row],[Descuentos]]</f>
        <v>361245502.62</v>
      </c>
    </row>
    <row r="14" spans="1:6" x14ac:dyDescent="0.25">
      <c r="A14" s="6">
        <v>2025</v>
      </c>
      <c r="B14" s="4" t="s">
        <v>4</v>
      </c>
      <c r="C14" s="5">
        <f>382505039.14-846860-7732200-7437390</f>
        <v>366488589.13999999</v>
      </c>
      <c r="D14" s="5">
        <f>846860+7732200+7437390+39231195.07</f>
        <v>55247645.07</v>
      </c>
      <c r="E14" s="5">
        <v>15346915</v>
      </c>
      <c r="F14" s="5">
        <f>+Tabla1[[#This Row],[Rutas Basicas]]+Tabla1[[#This Row],[Rutas Adicionales]]-Tabla1[[#This Row],[Descuentos]]</f>
        <v>406389319.20999998</v>
      </c>
    </row>
    <row r="15" spans="1:6" x14ac:dyDescent="0.25">
      <c r="A15" s="6">
        <v>2025</v>
      </c>
      <c r="B15" s="4" t="s">
        <v>5</v>
      </c>
      <c r="C15" s="5">
        <f>364752749.33-957320</f>
        <v>363795429.32999998</v>
      </c>
      <c r="D15" s="5">
        <f>957320+14680357</f>
        <v>15637677</v>
      </c>
      <c r="E15" s="5">
        <v>34190724</v>
      </c>
      <c r="F15" s="5">
        <f>+Tabla1[[#This Row],[Rutas Basicas]]+Tabla1[[#This Row],[Rutas Adicionales]]-Tabla1[[#This Row],[Descuentos]]</f>
        <v>345242382.32999998</v>
      </c>
    </row>
    <row r="16" spans="1:6" x14ac:dyDescent="0.25">
      <c r="A16" s="6">
        <v>2025</v>
      </c>
      <c r="B16" s="4" t="s">
        <v>6</v>
      </c>
      <c r="C16" s="5">
        <f>373100547-420795-3313800-2790000</f>
        <v>366575952</v>
      </c>
      <c r="D16" s="5">
        <f>420795+3313800+2790000+39057052</f>
        <v>45581647</v>
      </c>
      <c r="E16" s="5">
        <v>15117823</v>
      </c>
      <c r="F16" s="5">
        <f>+Tabla1[[#This Row],[Rutas Basicas]]+Tabla1[[#This Row],[Rutas Adicionales]]-Tabla1[[#This Row],[Descuentos]]</f>
        <v>397039776</v>
      </c>
    </row>
    <row r="17" spans="1:6" x14ac:dyDescent="0.25">
      <c r="A17" s="6">
        <v>2025</v>
      </c>
      <c r="B17" s="4" t="s">
        <v>7</v>
      </c>
      <c r="C17" s="5">
        <v>365019234.84799999</v>
      </c>
      <c r="D17" s="5">
        <v>78410015.146307737</v>
      </c>
      <c r="E17" s="5">
        <v>30578734</v>
      </c>
      <c r="F17" s="5">
        <f>+Tabla1[[#This Row],[Rutas Basicas]]+Tabla1[[#This Row],[Rutas Adicionales]]-Tabla1[[#This Row],[Descuentos]]</f>
        <v>412850515.99430776</v>
      </c>
    </row>
    <row r="19" spans="1:6" x14ac:dyDescent="0.25">
      <c r="E19" s="2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53CB-1FE5-406D-86AA-1EFC32ECA96C}">
  <dimension ref="A1:B17"/>
  <sheetViews>
    <sheetView workbookViewId="0"/>
  </sheetViews>
  <sheetFormatPr baseColWidth="10" defaultRowHeight="15" x14ac:dyDescent="0.25"/>
  <cols>
    <col min="1" max="1" width="17.5703125" bestFit="1" customWidth="1"/>
    <col min="2" max="2" width="13.140625" bestFit="1" customWidth="1"/>
  </cols>
  <sheetData>
    <row r="1" spans="1:2" x14ac:dyDescent="0.25">
      <c r="A1" s="30" t="s">
        <v>35</v>
      </c>
      <c r="B1" t="s">
        <v>34</v>
      </c>
    </row>
    <row r="2" spans="1:2" x14ac:dyDescent="0.25">
      <c r="A2" s="3">
        <v>2025</v>
      </c>
      <c r="B2">
        <v>24300</v>
      </c>
    </row>
    <row r="3" spans="1:2" x14ac:dyDescent="0.25">
      <c r="A3" s="31" t="s">
        <v>4</v>
      </c>
      <c r="B3">
        <v>2025</v>
      </c>
    </row>
    <row r="4" spans="1:2" x14ac:dyDescent="0.25">
      <c r="A4" s="31" t="s">
        <v>5</v>
      </c>
      <c r="B4">
        <v>2025</v>
      </c>
    </row>
    <row r="5" spans="1:2" x14ac:dyDescent="0.25">
      <c r="A5" s="31" t="s">
        <v>6</v>
      </c>
      <c r="B5">
        <v>2025</v>
      </c>
    </row>
    <row r="6" spans="1:2" x14ac:dyDescent="0.25">
      <c r="A6" s="31" t="s">
        <v>7</v>
      </c>
      <c r="B6">
        <v>2025</v>
      </c>
    </row>
    <row r="7" spans="1:2" x14ac:dyDescent="0.25">
      <c r="A7" s="31" t="s">
        <v>8</v>
      </c>
      <c r="B7">
        <v>2025</v>
      </c>
    </row>
    <row r="8" spans="1:2" x14ac:dyDescent="0.25">
      <c r="A8" s="31" t="s">
        <v>9</v>
      </c>
      <c r="B8">
        <v>2025</v>
      </c>
    </row>
    <row r="9" spans="1:2" x14ac:dyDescent="0.25">
      <c r="A9" s="31" t="s">
        <v>10</v>
      </c>
      <c r="B9">
        <v>2025</v>
      </c>
    </row>
    <row r="10" spans="1:2" x14ac:dyDescent="0.25">
      <c r="A10" s="31" t="s">
        <v>11</v>
      </c>
      <c r="B10">
        <v>2025</v>
      </c>
    </row>
    <row r="11" spans="1:2" x14ac:dyDescent="0.25">
      <c r="A11" s="31" t="s">
        <v>12</v>
      </c>
      <c r="B11">
        <v>2025</v>
      </c>
    </row>
    <row r="12" spans="1:2" x14ac:dyDescent="0.25">
      <c r="A12" s="31" t="s">
        <v>13</v>
      </c>
      <c r="B12">
        <v>2025</v>
      </c>
    </row>
    <row r="13" spans="1:2" x14ac:dyDescent="0.25">
      <c r="A13" s="31" t="s">
        <v>14</v>
      </c>
      <c r="B13">
        <v>2025</v>
      </c>
    </row>
    <row r="14" spans="1:2" x14ac:dyDescent="0.25">
      <c r="A14" s="31" t="s">
        <v>15</v>
      </c>
      <c r="B14">
        <v>2025</v>
      </c>
    </row>
    <row r="15" spans="1:2" x14ac:dyDescent="0.25">
      <c r="A15" s="3" t="s">
        <v>36</v>
      </c>
    </row>
    <row r="16" spans="1:2" x14ac:dyDescent="0.25">
      <c r="A16" s="31" t="s">
        <v>36</v>
      </c>
    </row>
    <row r="17" spans="1:2" x14ac:dyDescent="0.25">
      <c r="A17" s="3" t="s">
        <v>37</v>
      </c>
      <c r="B17">
        <v>24300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8F82-645F-47DA-9E73-2D898F3DF955}">
  <dimension ref="A1:Q32"/>
  <sheetViews>
    <sheetView showGridLines="0" topLeftCell="A13" zoomScale="90" zoomScaleNormal="90" workbookViewId="0">
      <selection activeCell="C27" sqref="C27"/>
    </sheetView>
  </sheetViews>
  <sheetFormatPr baseColWidth="10" defaultRowHeight="15" x14ac:dyDescent="0.25"/>
  <cols>
    <col min="1" max="1" width="29.7109375" style="3" bestFit="1" customWidth="1"/>
    <col min="3" max="4" width="17.5703125" bestFit="1" customWidth="1"/>
    <col min="5" max="5" width="14.85546875" hidden="1" customWidth="1"/>
    <col min="6" max="6" width="16.5703125" bestFit="1" customWidth="1"/>
    <col min="7" max="7" width="19.28515625" hidden="1" customWidth="1"/>
    <col min="8" max="8" width="20.85546875" bestFit="1" customWidth="1"/>
    <col min="9" max="9" width="20.140625" bestFit="1" customWidth="1"/>
    <col min="10" max="10" width="16.42578125" bestFit="1" customWidth="1"/>
    <col min="11" max="11" width="14.85546875" bestFit="1" customWidth="1"/>
    <col min="12" max="12" width="13.85546875" hidden="1" customWidth="1"/>
    <col min="13" max="13" width="16.42578125" bestFit="1" customWidth="1"/>
    <col min="14" max="14" width="14.85546875" bestFit="1" customWidth="1"/>
    <col min="16" max="16" width="24.42578125" bestFit="1" customWidth="1"/>
  </cols>
  <sheetData>
    <row r="1" spans="1:17" x14ac:dyDescent="0.25">
      <c r="A1" s="18" t="s">
        <v>25</v>
      </c>
      <c r="C1" s="55" t="s">
        <v>24</v>
      </c>
      <c r="D1" s="55"/>
      <c r="H1" s="8" t="s">
        <v>25</v>
      </c>
      <c r="J1" s="55" t="s">
        <v>24</v>
      </c>
      <c r="K1" s="55"/>
      <c r="P1" s="40" t="s">
        <v>42</v>
      </c>
      <c r="Q1" s="8"/>
    </row>
    <row r="2" spans="1:17" x14ac:dyDescent="0.25">
      <c r="A2" s="3" t="s">
        <v>18</v>
      </c>
      <c r="B2" s="15" t="s">
        <v>19</v>
      </c>
      <c r="C2" s="15" t="s">
        <v>20</v>
      </c>
      <c r="D2" s="15" t="s">
        <v>21</v>
      </c>
      <c r="E2" s="15" t="s">
        <v>22</v>
      </c>
      <c r="F2" s="15" t="s">
        <v>23</v>
      </c>
      <c r="G2" s="15" t="s">
        <v>30</v>
      </c>
      <c r="H2" s="11" t="s">
        <v>18</v>
      </c>
      <c r="I2" s="11" t="s">
        <v>19</v>
      </c>
      <c r="J2" s="11" t="s">
        <v>20</v>
      </c>
      <c r="K2" s="11" t="s">
        <v>21</v>
      </c>
      <c r="L2" s="11" t="s">
        <v>22</v>
      </c>
      <c r="M2" s="11" t="s">
        <v>23</v>
      </c>
    </row>
    <row r="3" spans="1:17" x14ac:dyDescent="0.25">
      <c r="A3" s="9">
        <v>2025</v>
      </c>
      <c r="B3" s="9" t="s">
        <v>4</v>
      </c>
      <c r="C3" s="10">
        <f>366488589.14-E3</f>
        <v>351141674.13999999</v>
      </c>
      <c r="D3" s="10">
        <v>55247645.07</v>
      </c>
      <c r="E3" s="10">
        <v>15346915</v>
      </c>
      <c r="F3" s="10">
        <f t="shared" ref="F3:F14" si="0">+C3+D3</f>
        <v>406389319.20999998</v>
      </c>
      <c r="G3" s="10">
        <f t="shared" ref="G3:G14" si="1">+D3+E3</f>
        <v>70594560.069999993</v>
      </c>
      <c r="H3" s="9">
        <v>2026</v>
      </c>
      <c r="I3" s="9" t="s">
        <v>4</v>
      </c>
      <c r="J3" s="10">
        <v>363668102.94249994</v>
      </c>
      <c r="K3" s="10">
        <v>42802614</v>
      </c>
      <c r="L3" s="10">
        <v>15346915</v>
      </c>
      <c r="M3" s="10">
        <f t="shared" ref="M3:M8" si="2">+J3+K3</f>
        <v>406470716.94249994</v>
      </c>
    </row>
    <row r="4" spans="1:17" x14ac:dyDescent="0.25">
      <c r="A4" s="9">
        <v>2025</v>
      </c>
      <c r="B4" s="9" t="s">
        <v>5</v>
      </c>
      <c r="C4" s="10">
        <f>363795429.33-E4</f>
        <v>329604705.32999998</v>
      </c>
      <c r="D4" s="10">
        <v>15637677</v>
      </c>
      <c r="E4" s="10">
        <v>34190724</v>
      </c>
      <c r="F4" s="10">
        <f t="shared" si="0"/>
        <v>345242382.32999998</v>
      </c>
      <c r="G4" s="10">
        <f t="shared" si="1"/>
        <v>49828401</v>
      </c>
      <c r="H4" s="9">
        <v>2026</v>
      </c>
      <c r="I4" s="9" t="s">
        <v>5</v>
      </c>
      <c r="J4" s="10">
        <v>331309363.4206599</v>
      </c>
      <c r="K4" s="10">
        <v>16417777.153580001</v>
      </c>
      <c r="L4" s="10">
        <v>34190724</v>
      </c>
      <c r="M4" s="10">
        <f t="shared" si="2"/>
        <v>347727140.57423991</v>
      </c>
    </row>
    <row r="5" spans="1:17" x14ac:dyDescent="0.25">
      <c r="A5" s="9">
        <v>2025</v>
      </c>
      <c r="B5" s="9" t="s">
        <v>6</v>
      </c>
      <c r="C5" s="10">
        <f>366575952-E5</f>
        <v>351458129</v>
      </c>
      <c r="D5" s="10">
        <v>45581647</v>
      </c>
      <c r="E5" s="10">
        <v>15117823</v>
      </c>
      <c r="F5" s="10">
        <f t="shared" si="0"/>
        <v>397039776</v>
      </c>
      <c r="G5" s="10">
        <f t="shared" si="1"/>
        <v>60699470</v>
      </c>
      <c r="H5" s="9">
        <v>2026</v>
      </c>
      <c r="I5" s="9" t="s">
        <v>6</v>
      </c>
      <c r="J5" s="10">
        <v>356976904.82065994</v>
      </c>
      <c r="K5" s="10">
        <v>13110137.788717866</v>
      </c>
      <c r="L5" s="10">
        <v>15117823</v>
      </c>
      <c r="M5" s="10">
        <f t="shared" si="2"/>
        <v>370087042.6093778</v>
      </c>
    </row>
    <row r="6" spans="1:17" x14ac:dyDescent="0.25">
      <c r="A6" s="9">
        <v>2025</v>
      </c>
      <c r="B6" s="9" t="s">
        <v>7</v>
      </c>
      <c r="C6" s="22">
        <f>365019234.848-E6</f>
        <v>334440500.84799999</v>
      </c>
      <c r="D6" s="22">
        <v>78410015.146307737</v>
      </c>
      <c r="E6" s="22">
        <v>30578734</v>
      </c>
      <c r="F6" s="22">
        <f t="shared" si="0"/>
        <v>412850515.99430776</v>
      </c>
      <c r="G6" s="10">
        <f t="shared" si="1"/>
        <v>108988749.14630774</v>
      </c>
      <c r="H6" s="9">
        <v>2026</v>
      </c>
      <c r="I6" s="9" t="s">
        <v>7</v>
      </c>
      <c r="J6" s="22">
        <v>342155032.82065994</v>
      </c>
      <c r="K6" s="22">
        <v>49812222.290120006</v>
      </c>
      <c r="L6" s="22">
        <v>30578734</v>
      </c>
      <c r="M6" s="22">
        <f t="shared" si="2"/>
        <v>391967255.11077994</v>
      </c>
    </row>
    <row r="7" spans="1:17" x14ac:dyDescent="0.25">
      <c r="A7" s="9">
        <v>2025</v>
      </c>
      <c r="B7" s="9" t="s">
        <v>8</v>
      </c>
      <c r="C7" s="22">
        <v>364231758.03599995</v>
      </c>
      <c r="D7" s="22">
        <v>15927243.615230858</v>
      </c>
      <c r="E7" s="22"/>
      <c r="F7" s="22">
        <f t="shared" si="0"/>
        <v>380159001.65123081</v>
      </c>
      <c r="G7" s="10">
        <f t="shared" si="1"/>
        <v>15927243.615230858</v>
      </c>
      <c r="H7" s="9">
        <v>2026</v>
      </c>
      <c r="I7" s="9" t="s">
        <v>8</v>
      </c>
      <c r="J7" s="39">
        <v>336768000</v>
      </c>
      <c r="K7" s="39">
        <v>936000</v>
      </c>
      <c r="L7" s="39"/>
      <c r="M7" s="39">
        <f t="shared" si="2"/>
        <v>337704000</v>
      </c>
    </row>
    <row r="8" spans="1:17" x14ac:dyDescent="0.25">
      <c r="A8" s="9">
        <v>2025</v>
      </c>
      <c r="B8" s="9" t="s">
        <v>9</v>
      </c>
      <c r="C8" s="22">
        <v>315434353.03599995</v>
      </c>
      <c r="D8" s="22">
        <v>19650235</v>
      </c>
      <c r="E8" s="22"/>
      <c r="F8" s="22">
        <f t="shared" si="0"/>
        <v>335084588.03599995</v>
      </c>
      <c r="G8" s="10">
        <f t="shared" si="1"/>
        <v>19650235</v>
      </c>
      <c r="H8" s="9">
        <v>2026</v>
      </c>
      <c r="I8" s="9" t="s">
        <v>9</v>
      </c>
      <c r="J8" s="22"/>
      <c r="K8" s="22"/>
      <c r="L8" s="22"/>
      <c r="M8" s="22">
        <f t="shared" si="2"/>
        <v>0</v>
      </c>
    </row>
    <row r="9" spans="1:17" x14ac:dyDescent="0.25">
      <c r="A9" s="9">
        <v>2025</v>
      </c>
      <c r="B9" s="9" t="s">
        <v>10</v>
      </c>
      <c r="C9" s="22">
        <v>338676038.00769228</v>
      </c>
      <c r="D9" s="22">
        <v>13924177</v>
      </c>
      <c r="E9" s="22"/>
      <c r="F9" s="22">
        <f t="shared" si="0"/>
        <v>352600215.00769228</v>
      </c>
      <c r="G9" s="10">
        <f t="shared" si="1"/>
        <v>13924177</v>
      </c>
      <c r="H9" s="9">
        <v>2026</v>
      </c>
      <c r="I9" s="9" t="s">
        <v>10</v>
      </c>
      <c r="J9" s="22"/>
      <c r="K9" s="22"/>
      <c r="L9" s="22"/>
      <c r="M9" s="22">
        <f>+J9+K9</f>
        <v>0</v>
      </c>
    </row>
    <row r="10" spans="1:17" x14ac:dyDescent="0.25">
      <c r="A10" s="9">
        <v>2025</v>
      </c>
      <c r="B10" s="9" t="s">
        <v>11</v>
      </c>
      <c r="C10" s="22">
        <v>318967226.07623076</v>
      </c>
      <c r="D10" s="22">
        <v>20088558</v>
      </c>
      <c r="E10" s="22"/>
      <c r="F10" s="22">
        <f t="shared" si="0"/>
        <v>339055784.07623076</v>
      </c>
      <c r="G10" s="10">
        <f t="shared" si="1"/>
        <v>20088558</v>
      </c>
      <c r="H10" s="9">
        <v>2026</v>
      </c>
      <c r="I10" s="9" t="s">
        <v>11</v>
      </c>
      <c r="J10" s="22"/>
      <c r="K10" s="22"/>
      <c r="L10" s="22"/>
      <c r="M10" s="22">
        <f t="shared" ref="M10" si="3">+J10+K10</f>
        <v>0</v>
      </c>
    </row>
    <row r="11" spans="1:17" x14ac:dyDescent="0.25">
      <c r="A11" s="9">
        <v>2025</v>
      </c>
      <c r="B11" s="9" t="s">
        <v>12</v>
      </c>
      <c r="C11" s="22">
        <v>358810211.06400001</v>
      </c>
      <c r="D11" s="22">
        <v>42704705</v>
      </c>
      <c r="E11" s="22"/>
      <c r="F11" s="22">
        <f t="shared" si="0"/>
        <v>401514916.06400001</v>
      </c>
      <c r="G11" s="10">
        <f t="shared" si="1"/>
        <v>42704705</v>
      </c>
      <c r="H11" s="9">
        <v>2026</v>
      </c>
      <c r="I11" s="9" t="s">
        <v>12</v>
      </c>
      <c r="J11" s="22"/>
      <c r="K11" s="22"/>
      <c r="L11" s="22"/>
      <c r="M11" s="22">
        <f>+J11+K11</f>
        <v>0</v>
      </c>
    </row>
    <row r="12" spans="1:17" x14ac:dyDescent="0.25">
      <c r="A12" s="9">
        <v>2025</v>
      </c>
      <c r="B12" s="9" t="s">
        <v>13</v>
      </c>
      <c r="C12" s="22">
        <v>354242827.91600001</v>
      </c>
      <c r="D12" s="22">
        <v>21154406</v>
      </c>
      <c r="E12" s="22"/>
      <c r="F12" s="22">
        <f t="shared" si="0"/>
        <v>375397233.91600001</v>
      </c>
      <c r="G12" s="10">
        <f t="shared" si="1"/>
        <v>21154406</v>
      </c>
      <c r="H12" s="9">
        <v>2026</v>
      </c>
      <c r="I12" s="9" t="s">
        <v>13</v>
      </c>
      <c r="J12" s="22"/>
      <c r="K12" s="22"/>
      <c r="L12" s="22"/>
      <c r="M12" s="22">
        <f>+J12+K12</f>
        <v>0</v>
      </c>
    </row>
    <row r="13" spans="1:17" x14ac:dyDescent="0.25">
      <c r="A13" s="9">
        <v>2025</v>
      </c>
      <c r="B13" s="9" t="s">
        <v>14</v>
      </c>
      <c r="C13" s="22">
        <v>313632889.41600001</v>
      </c>
      <c r="D13" s="22">
        <v>35338334</v>
      </c>
      <c r="E13" s="22"/>
      <c r="F13" s="22">
        <f t="shared" si="0"/>
        <v>348971223.41600001</v>
      </c>
      <c r="G13" s="10">
        <f t="shared" si="1"/>
        <v>35338334</v>
      </c>
      <c r="H13" s="9">
        <v>2026</v>
      </c>
      <c r="I13" s="9" t="s">
        <v>14</v>
      </c>
      <c r="J13" s="22"/>
      <c r="K13" s="22"/>
      <c r="L13" s="22"/>
      <c r="M13" s="22">
        <f>+J13+K13</f>
        <v>0</v>
      </c>
    </row>
    <row r="14" spans="1:17" x14ac:dyDescent="0.25">
      <c r="A14" s="9">
        <v>2025</v>
      </c>
      <c r="B14" s="9" t="s">
        <v>15</v>
      </c>
      <c r="C14" s="22">
        <v>343421619.07246155</v>
      </c>
      <c r="D14" s="22">
        <v>43826817.751230799</v>
      </c>
      <c r="E14" s="22"/>
      <c r="F14" s="22">
        <f t="shared" si="0"/>
        <v>387248436.82369232</v>
      </c>
      <c r="G14" s="10">
        <f t="shared" si="1"/>
        <v>43826817.751230799</v>
      </c>
      <c r="H14" s="9">
        <v>2026</v>
      </c>
      <c r="I14" s="9" t="s">
        <v>15</v>
      </c>
      <c r="J14" s="22"/>
      <c r="K14" s="22"/>
      <c r="L14" s="22"/>
      <c r="M14" s="22">
        <f>+J14+K14</f>
        <v>0</v>
      </c>
    </row>
    <row r="15" spans="1:17" x14ac:dyDescent="0.25">
      <c r="A15" s="19"/>
      <c r="B15" s="9"/>
      <c r="C15" s="13">
        <f>SUBTOTAL(109,C3:C14)</f>
        <v>4074061931.9423842</v>
      </c>
      <c r="D15" s="13">
        <f>SUBTOTAL(109,D3:D14)</f>
        <v>407491460.58276933</v>
      </c>
      <c r="E15" s="13">
        <f t="shared" ref="E15" si="4">SUBTOTAL(109,E3:E14)</f>
        <v>95234196</v>
      </c>
      <c r="F15" s="13">
        <f>SUBTOTAL(109,F3:F14)</f>
        <v>4481553392.5251541</v>
      </c>
      <c r="G15" s="10">
        <f>+D15+E15</f>
        <v>502725656.58276933</v>
      </c>
      <c r="H15" s="12"/>
      <c r="I15" s="16"/>
      <c r="J15" s="17">
        <f>SUM(J3:J14)</f>
        <v>1730877404.0044796</v>
      </c>
      <c r="K15" s="17">
        <f>SUM(K3:K14)</f>
        <v>123078751.23241788</v>
      </c>
      <c r="L15" s="17">
        <f t="shared" ref="L15" si="5">SUM(L3:L14)</f>
        <v>95234196</v>
      </c>
      <c r="M15" s="17">
        <f>SUM(M3:M14)</f>
        <v>1853956155.2368977</v>
      </c>
      <c r="N15" s="25"/>
    </row>
    <row r="16" spans="1:17" x14ac:dyDescent="0.25">
      <c r="A16" s="19"/>
      <c r="B16" s="9"/>
      <c r="C16" s="10"/>
      <c r="D16" s="10"/>
      <c r="E16" s="10"/>
      <c r="F16" s="32"/>
      <c r="G16" s="10"/>
    </row>
    <row r="17" spans="1:9" x14ac:dyDescent="0.25">
      <c r="D17" s="24"/>
    </row>
    <row r="18" spans="1:9" x14ac:dyDescent="0.25">
      <c r="A18" s="18" t="s">
        <v>41</v>
      </c>
      <c r="B18" s="8"/>
      <c r="C18" s="8"/>
    </row>
    <row r="19" spans="1:9" x14ac:dyDescent="0.25">
      <c r="C19" s="14" t="s">
        <v>20</v>
      </c>
      <c r="D19" s="14" t="s">
        <v>21</v>
      </c>
      <c r="E19" s="14" t="s">
        <v>22</v>
      </c>
      <c r="F19" s="14" t="s">
        <v>23</v>
      </c>
      <c r="G19" s="14"/>
      <c r="H19" s="14" t="s">
        <v>29</v>
      </c>
      <c r="I19" s="14" t="s">
        <v>28</v>
      </c>
    </row>
    <row r="20" spans="1:9" x14ac:dyDescent="0.25">
      <c r="A20" s="18">
        <v>2025</v>
      </c>
      <c r="C20" s="7">
        <f>SUM(C3:C7)</f>
        <v>1730876767.3540001</v>
      </c>
      <c r="D20" s="7">
        <f>SUM(D3:D7)</f>
        <v>210804227.83153859</v>
      </c>
      <c r="E20" s="7">
        <f t="shared" ref="E20" si="6">SUM(E3:E6)</f>
        <v>95234196</v>
      </c>
      <c r="F20" s="7">
        <f>SUM(F3:F7)</f>
        <v>1941680995.1855385</v>
      </c>
      <c r="H20" s="23">
        <f>AVERAGE('1'!C4:C7)</f>
        <v>1185</v>
      </c>
      <c r="I20" s="7">
        <f>+'1'!I9</f>
        <v>326937.36238180479</v>
      </c>
    </row>
    <row r="21" spans="1:9" x14ac:dyDescent="0.25">
      <c r="A21" s="18">
        <v>2026</v>
      </c>
      <c r="C21" s="7">
        <f>SUM(J3:J14)</f>
        <v>1730877404.0044796</v>
      </c>
      <c r="D21" s="7">
        <f>SUM(K3:K14)</f>
        <v>123078751.23241788</v>
      </c>
      <c r="E21" s="7">
        <f>SUM(L3:L7)</f>
        <v>95234196</v>
      </c>
      <c r="F21" s="7">
        <f>SUM(M3:M14)</f>
        <v>1853956155.2368977</v>
      </c>
      <c r="G21" s="7">
        <f t="shared" ref="G21" si="7">SUM(N3:N7)</f>
        <v>0</v>
      </c>
      <c r="H21" s="23">
        <f>AVERAGE('1'!C16:C20)</f>
        <v>1136.5999999999999</v>
      </c>
      <c r="I21" s="7">
        <f>+'1'!I20</f>
        <v>326228.42780870979</v>
      </c>
    </row>
    <row r="22" spans="1:9" x14ac:dyDescent="0.25">
      <c r="A22" s="18" t="s">
        <v>26</v>
      </c>
      <c r="C22" s="29">
        <f>+C21/C20-1</f>
        <v>3.6781964585230753E-7</v>
      </c>
      <c r="D22" s="26">
        <f>+D21/D20-1</f>
        <v>-0.41614666603947503</v>
      </c>
      <c r="E22" s="26">
        <f>+E21/E20-1</f>
        <v>0</v>
      </c>
      <c r="F22" s="29">
        <f>+F21/F20-1</f>
        <v>-4.5179841676442956E-2</v>
      </c>
      <c r="G22" s="26" t="e">
        <f t="shared" ref="G22" si="8">+G21/G20-1</f>
        <v>#DIV/0!</v>
      </c>
      <c r="H22" s="26">
        <f>+H21/H20-1</f>
        <v>-4.0843881856540198E-2</v>
      </c>
      <c r="I22" s="28">
        <f>+I21/I20-1</f>
        <v>-2.1684110005973922E-3</v>
      </c>
    </row>
    <row r="23" spans="1:9" x14ac:dyDescent="0.25">
      <c r="H23" s="23"/>
    </row>
    <row r="26" spans="1:9" x14ac:dyDescent="0.25">
      <c r="B26" s="36" t="s">
        <v>19</v>
      </c>
      <c r="C26" s="36">
        <v>2025</v>
      </c>
      <c r="D26" s="36">
        <v>2026</v>
      </c>
      <c r="E26" s="36"/>
      <c r="F26" s="37" t="s">
        <v>40</v>
      </c>
      <c r="G26" s="36"/>
      <c r="H26" s="37" t="s">
        <v>39</v>
      </c>
      <c r="I26" s="37" t="s">
        <v>38</v>
      </c>
    </row>
    <row r="27" spans="1:9" x14ac:dyDescent="0.25">
      <c r="A27" s="9"/>
      <c r="B27" s="38" t="s">
        <v>4</v>
      </c>
      <c r="C27" s="34">
        <v>406.38931921</v>
      </c>
      <c r="D27" s="34">
        <v>406.47071694249996</v>
      </c>
      <c r="E27" s="33"/>
      <c r="F27" s="34">
        <f>+C27-D27</f>
        <v>-8.1397732499965514E-2</v>
      </c>
      <c r="G27" s="33"/>
      <c r="H27" s="33"/>
      <c r="I27" s="33"/>
    </row>
    <row r="28" spans="1:9" x14ac:dyDescent="0.25">
      <c r="A28" s="9"/>
      <c r="B28" s="38" t="s">
        <v>5</v>
      </c>
      <c r="C28" s="34">
        <v>345.24238233</v>
      </c>
      <c r="D28" s="34">
        <v>347.72714057423991</v>
      </c>
      <c r="E28" s="33"/>
      <c r="F28" s="34">
        <f t="shared" ref="F28:F31" si="9">+C28-D28</f>
        <v>-2.484758244239913</v>
      </c>
      <c r="G28" s="33"/>
      <c r="H28" s="33"/>
      <c r="I28" s="33"/>
    </row>
    <row r="29" spans="1:9" x14ac:dyDescent="0.25">
      <c r="A29" s="9"/>
      <c r="B29" s="38" t="s">
        <v>6</v>
      </c>
      <c r="C29" s="34">
        <v>397.03977600000002</v>
      </c>
      <c r="D29" s="34">
        <v>370.08704260937782</v>
      </c>
      <c r="E29" s="33"/>
      <c r="F29" s="34">
        <f t="shared" si="9"/>
        <v>26.9527333906222</v>
      </c>
      <c r="G29" s="33"/>
      <c r="H29" s="33"/>
      <c r="I29" s="33"/>
    </row>
    <row r="30" spans="1:9" x14ac:dyDescent="0.25">
      <c r="A30" s="9"/>
      <c r="B30" s="38" t="s">
        <v>7</v>
      </c>
      <c r="C30" s="34">
        <v>412.85051599430778</v>
      </c>
      <c r="D30" s="34">
        <v>391.96725511077994</v>
      </c>
      <c r="E30" s="33"/>
      <c r="F30" s="34">
        <f t="shared" si="9"/>
        <v>20.883260883527839</v>
      </c>
      <c r="G30" s="33"/>
      <c r="H30" s="33"/>
      <c r="I30" s="33"/>
    </row>
    <row r="31" spans="1:9" x14ac:dyDescent="0.25">
      <c r="A31" s="9"/>
      <c r="B31" s="38" t="s">
        <v>8</v>
      </c>
      <c r="C31" s="34">
        <v>380</v>
      </c>
      <c r="D31" s="34">
        <v>337</v>
      </c>
      <c r="E31" s="33"/>
      <c r="F31" s="34">
        <f t="shared" si="9"/>
        <v>43</v>
      </c>
      <c r="G31" s="33"/>
      <c r="H31" s="33"/>
      <c r="I31" s="33"/>
    </row>
    <row r="32" spans="1:9" x14ac:dyDescent="0.25">
      <c r="A32" s="9"/>
      <c r="B32" s="38" t="s">
        <v>23</v>
      </c>
      <c r="C32" s="35"/>
      <c r="D32" s="35"/>
      <c r="E32" s="35">
        <f>SUM(E26:E30)</f>
        <v>0</v>
      </c>
      <c r="F32" s="35">
        <f>+SUM(C27:C31)-SUM(D27:D31)</f>
        <v>88.269838297410388</v>
      </c>
      <c r="G32" s="33"/>
      <c r="H32" s="35">
        <f>+(16.6666666666667)*5</f>
        <v>83.333333333333499</v>
      </c>
      <c r="I32" s="35">
        <v>200</v>
      </c>
    </row>
  </sheetData>
  <mergeCells count="2">
    <mergeCell ref="C1:D1"/>
    <mergeCell ref="J1:K1"/>
  </mergeCells>
  <phoneticPr fontId="3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5CCB-E95F-46C2-ABF5-450211423E2C}">
  <dimension ref="A2:J20"/>
  <sheetViews>
    <sheetView showGridLines="0" topLeftCell="A4" workbookViewId="0">
      <selection activeCell="I20" sqref="I20"/>
    </sheetView>
  </sheetViews>
  <sheetFormatPr baseColWidth="10" defaultRowHeight="15" x14ac:dyDescent="0.25"/>
  <cols>
    <col min="1" max="1" width="10.7109375" bestFit="1" customWidth="1"/>
    <col min="3" max="3" width="13" style="15" bestFit="1" customWidth="1"/>
    <col min="4" max="4" width="16.7109375" style="15" bestFit="1" customWidth="1"/>
    <col min="5" max="5" width="15.5703125" style="15" bestFit="1" customWidth="1"/>
    <col min="6" max="6" width="16.7109375" style="15" bestFit="1" customWidth="1"/>
    <col min="7" max="7" width="19.28515625" bestFit="1" customWidth="1"/>
    <col min="8" max="8" width="19.28515625" customWidth="1"/>
    <col min="9" max="9" width="15.5703125" bestFit="1" customWidth="1"/>
  </cols>
  <sheetData>
    <row r="2" spans="1:10" x14ac:dyDescent="0.25">
      <c r="A2" s="8" t="s">
        <v>25</v>
      </c>
      <c r="D2" s="55" t="s">
        <v>24</v>
      </c>
      <c r="E2" s="55"/>
    </row>
    <row r="3" spans="1:10" x14ac:dyDescent="0.25">
      <c r="A3" t="s">
        <v>18</v>
      </c>
      <c r="B3" t="s">
        <v>19</v>
      </c>
      <c r="C3" s="15" t="s">
        <v>27</v>
      </c>
      <c r="D3" s="15" t="s">
        <v>20</v>
      </c>
      <c r="E3" s="15" t="s">
        <v>21</v>
      </c>
      <c r="F3" s="15" t="s">
        <v>23</v>
      </c>
      <c r="G3" t="s">
        <v>30</v>
      </c>
      <c r="H3" t="s">
        <v>31</v>
      </c>
      <c r="I3" t="s">
        <v>32</v>
      </c>
      <c r="J3" t="s">
        <v>33</v>
      </c>
    </row>
    <row r="4" spans="1:10" x14ac:dyDescent="0.25">
      <c r="A4" s="9">
        <v>2025</v>
      </c>
      <c r="B4" s="9" t="s">
        <v>4</v>
      </c>
      <c r="C4" s="20">
        <v>1175</v>
      </c>
      <c r="D4" s="21">
        <v>351141674.13999999</v>
      </c>
      <c r="E4" s="21">
        <v>55247645.07</v>
      </c>
      <c r="F4" s="21">
        <v>406389319.20999998</v>
      </c>
      <c r="G4" s="21"/>
      <c r="H4" s="21"/>
      <c r="I4" s="21"/>
      <c r="J4" s="21"/>
    </row>
    <row r="5" spans="1:10" x14ac:dyDescent="0.25">
      <c r="A5" s="9">
        <v>2025</v>
      </c>
      <c r="B5" s="9" t="s">
        <v>5</v>
      </c>
      <c r="C5" s="20">
        <v>1191</v>
      </c>
      <c r="D5" s="21">
        <v>329604705.32999998</v>
      </c>
      <c r="E5" s="21">
        <v>15637677</v>
      </c>
      <c r="F5" s="21">
        <v>345242382.32999998</v>
      </c>
      <c r="G5" s="21"/>
      <c r="H5" s="21"/>
      <c r="I5" s="21"/>
      <c r="J5" s="21"/>
    </row>
    <row r="6" spans="1:10" x14ac:dyDescent="0.25">
      <c r="A6" s="9">
        <v>2025</v>
      </c>
      <c r="B6" s="9" t="s">
        <v>6</v>
      </c>
      <c r="C6" s="20">
        <v>1204</v>
      </c>
      <c r="D6" s="21">
        <v>351458129</v>
      </c>
      <c r="E6" s="21">
        <v>45581647</v>
      </c>
      <c r="F6" s="21">
        <v>397039776</v>
      </c>
      <c r="G6" s="21"/>
      <c r="H6" s="21"/>
      <c r="I6" s="21"/>
      <c r="J6" s="21"/>
    </row>
    <row r="7" spans="1:10" x14ac:dyDescent="0.25">
      <c r="A7" s="9">
        <v>2025</v>
      </c>
      <c r="B7" s="9" t="s">
        <v>7</v>
      </c>
      <c r="C7" s="20">
        <v>1170</v>
      </c>
      <c r="D7" s="21">
        <v>334440500.84799999</v>
      </c>
      <c r="E7" s="21">
        <v>78410015.146307737</v>
      </c>
      <c r="F7" s="21">
        <v>412850515.99430776</v>
      </c>
      <c r="G7" s="21"/>
      <c r="H7" s="21"/>
      <c r="I7" s="21"/>
      <c r="J7" s="21"/>
    </row>
    <row r="8" spans="1:10" x14ac:dyDescent="0.25">
      <c r="A8" s="9">
        <v>2025</v>
      </c>
      <c r="B8" s="9" t="s">
        <v>8</v>
      </c>
      <c r="C8" s="20">
        <v>1199</v>
      </c>
      <c r="D8" s="21">
        <v>364231758.03599995</v>
      </c>
      <c r="E8" s="21">
        <v>15927243.615230858</v>
      </c>
      <c r="F8" s="21">
        <v>380159001.65123081</v>
      </c>
      <c r="G8" s="21"/>
      <c r="H8" s="21"/>
      <c r="I8" s="21"/>
      <c r="J8" s="21"/>
    </row>
    <row r="9" spans="1:10" x14ac:dyDescent="0.25">
      <c r="A9" s="9">
        <v>2025</v>
      </c>
      <c r="B9" s="9" t="s">
        <v>9</v>
      </c>
      <c r="C9" s="20">
        <v>1112</v>
      </c>
      <c r="D9" s="21">
        <v>315434353.03599995</v>
      </c>
      <c r="E9" s="21">
        <v>19650235</v>
      </c>
      <c r="F9" s="21">
        <v>335084588.03599995</v>
      </c>
      <c r="G9" s="27">
        <f>SUM(F4:F8)</f>
        <v>1941680995.1855385</v>
      </c>
      <c r="H9" s="27">
        <f>SUM(C4:C8)</f>
        <v>5939</v>
      </c>
      <c r="I9" s="21">
        <f>+G9/H9</f>
        <v>326937.36238180479</v>
      </c>
      <c r="J9" s="21"/>
    </row>
    <row r="10" spans="1:10" x14ac:dyDescent="0.25">
      <c r="A10" s="9">
        <v>2025</v>
      </c>
      <c r="B10" s="9" t="s">
        <v>10</v>
      </c>
      <c r="C10" s="20">
        <v>1096</v>
      </c>
      <c r="D10" s="21">
        <v>338676038.00769228</v>
      </c>
      <c r="E10" s="21">
        <v>13924177</v>
      </c>
      <c r="F10" s="21">
        <v>352600215.00769228</v>
      </c>
      <c r="G10" s="21"/>
      <c r="H10" s="21"/>
      <c r="I10" s="21"/>
      <c r="J10" s="21"/>
    </row>
    <row r="11" spans="1:10" x14ac:dyDescent="0.25">
      <c r="A11" s="9">
        <v>2025</v>
      </c>
      <c r="B11" s="9" t="s">
        <v>11</v>
      </c>
      <c r="C11" s="20">
        <v>1139</v>
      </c>
      <c r="D11" s="21">
        <v>318967226.07623076</v>
      </c>
      <c r="E11" s="21">
        <v>20088558</v>
      </c>
      <c r="F11" s="21">
        <v>339055784.07623076</v>
      </c>
      <c r="G11" s="21"/>
      <c r="H11" s="21"/>
      <c r="I11" s="21"/>
      <c r="J11" s="21"/>
    </row>
    <row r="12" spans="1:10" x14ac:dyDescent="0.25">
      <c r="A12" s="9">
        <v>2025</v>
      </c>
      <c r="B12" s="9" t="s">
        <v>12</v>
      </c>
      <c r="C12" s="20">
        <v>1178</v>
      </c>
      <c r="D12" s="21">
        <v>358810211.06400001</v>
      </c>
      <c r="E12" s="21">
        <v>42704705</v>
      </c>
      <c r="F12" s="21">
        <v>401514916.06400001</v>
      </c>
      <c r="G12" s="21"/>
      <c r="H12" s="21"/>
      <c r="I12" s="21"/>
      <c r="J12" s="21"/>
    </row>
    <row r="13" spans="1:10" x14ac:dyDescent="0.25">
      <c r="A13" s="9">
        <v>2025</v>
      </c>
      <c r="B13" s="9" t="s">
        <v>13</v>
      </c>
      <c r="C13" s="20">
        <v>1171</v>
      </c>
      <c r="D13" s="21">
        <v>354242827.91600001</v>
      </c>
      <c r="E13" s="21">
        <v>21154406</v>
      </c>
      <c r="F13" s="21">
        <v>375397233.91600001</v>
      </c>
      <c r="G13" s="21"/>
      <c r="H13" s="21"/>
      <c r="I13" s="21"/>
      <c r="J13" s="21"/>
    </row>
    <row r="14" spans="1:10" x14ac:dyDescent="0.25">
      <c r="A14" s="9">
        <v>2025</v>
      </c>
      <c r="B14" s="9" t="s">
        <v>14</v>
      </c>
      <c r="C14" s="20">
        <v>1234</v>
      </c>
      <c r="D14" s="21">
        <v>313632889.41600001</v>
      </c>
      <c r="E14" s="21">
        <v>35338334</v>
      </c>
      <c r="F14" s="21">
        <v>348971223.41600001</v>
      </c>
      <c r="G14" s="21"/>
      <c r="H14" s="21"/>
      <c r="I14" s="21"/>
      <c r="J14" s="21"/>
    </row>
    <row r="15" spans="1:10" x14ac:dyDescent="0.25">
      <c r="A15" s="9">
        <v>2025</v>
      </c>
      <c r="B15" s="9" t="s">
        <v>15</v>
      </c>
      <c r="C15" s="20">
        <v>1198</v>
      </c>
      <c r="D15" s="21">
        <v>343421619.07246155</v>
      </c>
      <c r="E15" s="21">
        <v>43826817.751230799</v>
      </c>
      <c r="F15" s="21">
        <v>387248436.82369232</v>
      </c>
      <c r="G15" s="21"/>
      <c r="H15" s="21"/>
      <c r="I15" s="21"/>
      <c r="J15" s="21"/>
    </row>
    <row r="16" spans="1:10" x14ac:dyDescent="0.25">
      <c r="A16" s="9">
        <v>2026</v>
      </c>
      <c r="B16" s="9" t="s">
        <v>4</v>
      </c>
      <c r="C16" s="20">
        <v>1145</v>
      </c>
      <c r="D16" s="21">
        <f>+Base.!J3</f>
        <v>363668102.94249994</v>
      </c>
      <c r="E16" s="21">
        <f>+Base.!K3</f>
        <v>42802614</v>
      </c>
      <c r="F16" s="21">
        <f>SUM(Tabla25[[#This Row],[BASICAS]:[ADICIONALES]])</f>
        <v>406470716.94249994</v>
      </c>
      <c r="G16" s="21"/>
      <c r="H16" s="21"/>
      <c r="I16" s="21"/>
      <c r="J16" s="21"/>
    </row>
    <row r="17" spans="1:10" x14ac:dyDescent="0.25">
      <c r="A17" s="9">
        <v>2026</v>
      </c>
      <c r="B17" s="9" t="s">
        <v>5</v>
      </c>
      <c r="C17" s="20">
        <v>1123</v>
      </c>
      <c r="D17" s="21">
        <f>+Base.!J4</f>
        <v>331309363.4206599</v>
      </c>
      <c r="E17" s="21">
        <f>+Base.!K4</f>
        <v>16417777.153580001</v>
      </c>
      <c r="F17" s="21">
        <f>SUM(Tabla25[[#This Row],[BASICAS]:[ADICIONALES]])</f>
        <v>347727140.57423991</v>
      </c>
      <c r="G17" s="21"/>
      <c r="H17" s="21"/>
      <c r="I17" s="21"/>
      <c r="J17" s="21"/>
    </row>
    <row r="18" spans="1:10" x14ac:dyDescent="0.25">
      <c r="A18" s="9">
        <v>2026</v>
      </c>
      <c r="B18" s="9" t="s">
        <v>6</v>
      </c>
      <c r="C18" s="20">
        <v>1154</v>
      </c>
      <c r="D18" s="21">
        <f>+Base.!J5</f>
        <v>356976904.82065994</v>
      </c>
      <c r="E18" s="21">
        <f>+Base.!K5</f>
        <v>13110137.788717866</v>
      </c>
      <c r="F18" s="21">
        <f>SUM(Tabla25[[#This Row],[BASICAS]:[ADICIONALES]])</f>
        <v>370087042.6093778</v>
      </c>
      <c r="G18" s="21"/>
      <c r="H18" s="21"/>
      <c r="I18" s="21"/>
      <c r="J18" s="21"/>
    </row>
    <row r="19" spans="1:10" x14ac:dyDescent="0.25">
      <c r="A19" s="9">
        <v>2026</v>
      </c>
      <c r="B19" s="9" t="s">
        <v>7</v>
      </c>
      <c r="C19" s="20">
        <v>1130</v>
      </c>
      <c r="D19" s="21">
        <f>+Base.!J6</f>
        <v>342155032.82065994</v>
      </c>
      <c r="E19" s="21">
        <f>+Base.!K6</f>
        <v>49812222.290120006</v>
      </c>
      <c r="F19" s="21">
        <f>SUM(Tabla25[[#This Row],[BASICAS]:[ADICIONALES]])</f>
        <v>391967255.11077994</v>
      </c>
      <c r="G19" s="21"/>
      <c r="H19" s="21"/>
      <c r="I19" s="21"/>
      <c r="J19" s="21"/>
    </row>
    <row r="20" spans="1:10" x14ac:dyDescent="0.25">
      <c r="A20" s="9">
        <v>2026</v>
      </c>
      <c r="B20" s="9" t="s">
        <v>8</v>
      </c>
      <c r="C20" s="20">
        <v>1131</v>
      </c>
      <c r="D20" s="21">
        <f>+Base.!J7</f>
        <v>336768000</v>
      </c>
      <c r="E20" s="21">
        <f>+Base.!K7</f>
        <v>936000</v>
      </c>
      <c r="F20" s="21">
        <f>SUM(Tabla25[[#This Row],[BASICAS]:[ADICIONALES]])</f>
        <v>337704000</v>
      </c>
      <c r="G20" s="21">
        <f>SUM(F16:F20)</f>
        <v>1853956155.2368977</v>
      </c>
      <c r="H20" s="21">
        <f>SUM(C16:C20)</f>
        <v>5683</v>
      </c>
      <c r="I20" s="21">
        <f>+G20/H20</f>
        <v>326228.42780870979</v>
      </c>
      <c r="J20" s="21"/>
    </row>
  </sheetData>
  <mergeCells count="1">
    <mergeCell ref="D2:E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2899-B82C-4729-8DD5-4F316CC82B99}">
  <dimension ref="A1:O73"/>
  <sheetViews>
    <sheetView showGridLines="0" tabSelected="1" topLeftCell="A4" zoomScale="80" zoomScaleNormal="80" workbookViewId="0">
      <selection activeCell="A4" sqref="A4"/>
    </sheetView>
  </sheetViews>
  <sheetFormatPr baseColWidth="10" defaultRowHeight="15" x14ac:dyDescent="0.25"/>
  <cols>
    <col min="1" max="1" width="29.7109375" style="62" bestFit="1" customWidth="1"/>
    <col min="2" max="2" width="19" style="63" bestFit="1" customWidth="1"/>
    <col min="3" max="4" width="17.5703125" style="63" bestFit="1" customWidth="1"/>
    <col min="5" max="5" width="19" style="63" bestFit="1" customWidth="1"/>
    <col min="6" max="6" width="21.28515625" style="63" bestFit="1" customWidth="1"/>
    <col min="7" max="7" width="20.140625" style="63" bestFit="1" customWidth="1"/>
    <col min="8" max="8" width="18.85546875" style="63" bestFit="1" customWidth="1"/>
    <col min="9" max="9" width="20.28515625" style="63" bestFit="1" customWidth="1"/>
    <col min="10" max="10" width="13.85546875" style="63" hidden="1" customWidth="1"/>
    <col min="11" max="11" width="16.42578125" style="63" bestFit="1" customWidth="1"/>
    <col min="12" max="12" width="14.85546875" style="63" bestFit="1" customWidth="1"/>
    <col min="13" max="13" width="11.42578125" style="63"/>
    <col min="14" max="14" width="24.42578125" style="63" bestFit="1" customWidth="1"/>
    <col min="15" max="16384" width="11.42578125" style="63"/>
  </cols>
  <sheetData>
    <row r="1" spans="1:15" hidden="1" x14ac:dyDescent="0.25">
      <c r="C1" s="64" t="s">
        <v>49</v>
      </c>
      <c r="D1" s="65">
        <f>+C2/B2</f>
        <v>0.41973969631236441</v>
      </c>
    </row>
    <row r="2" spans="1:15" hidden="1" x14ac:dyDescent="0.25">
      <c r="A2" s="66" t="s">
        <v>50</v>
      </c>
      <c r="B2" s="63">
        <v>922</v>
      </c>
      <c r="C2" s="67">
        <f>+G19+274</f>
        <v>387</v>
      </c>
      <c r="D2" s="68" t="s">
        <v>48</v>
      </c>
      <c r="E2" s="68"/>
      <c r="F2" s="68"/>
      <c r="G2" s="68"/>
      <c r="H2" s="68"/>
      <c r="I2" s="68"/>
      <c r="N2" s="69" t="s">
        <v>42</v>
      </c>
      <c r="O2" s="69"/>
    </row>
    <row r="3" spans="1:15" hidden="1" x14ac:dyDescent="0.25">
      <c r="A3" s="66"/>
      <c r="C3" s="67"/>
      <c r="D3" s="70"/>
      <c r="E3" s="70"/>
      <c r="F3" s="70"/>
      <c r="G3" s="70"/>
      <c r="H3" s="70"/>
      <c r="I3" s="70"/>
      <c r="N3" s="69"/>
      <c r="O3" s="69"/>
    </row>
    <row r="4" spans="1:15" x14ac:dyDescent="0.25">
      <c r="A4" s="66" t="s">
        <v>55</v>
      </c>
      <c r="C4" s="67"/>
      <c r="D4" s="70"/>
      <c r="E4" s="70"/>
      <c r="F4" s="70"/>
      <c r="G4" s="70"/>
      <c r="H4" s="70"/>
      <c r="I4" s="70"/>
      <c r="N4" s="69"/>
      <c r="O4" s="69"/>
    </row>
    <row r="5" spans="1:15" x14ac:dyDescent="0.25">
      <c r="A5" s="66" t="s">
        <v>56</v>
      </c>
      <c r="C5" s="67"/>
      <c r="D5" s="70"/>
      <c r="E5" s="70"/>
      <c r="F5" s="70"/>
      <c r="G5" s="70"/>
      <c r="H5" s="70"/>
      <c r="I5" s="70"/>
      <c r="N5" s="69"/>
      <c r="O5" s="69"/>
    </row>
    <row r="6" spans="1:15" x14ac:dyDescent="0.25">
      <c r="A6" s="66"/>
      <c r="C6" s="67"/>
      <c r="D6" s="70"/>
      <c r="E6" s="70"/>
      <c r="F6" s="70"/>
      <c r="G6" s="70"/>
      <c r="H6" s="70"/>
      <c r="I6" s="70"/>
      <c r="N6" s="69"/>
      <c r="O6" s="69"/>
    </row>
    <row r="7" spans="1:15" x14ac:dyDescent="0.25">
      <c r="A7" s="66"/>
      <c r="C7" s="67"/>
      <c r="D7" s="70"/>
      <c r="E7" s="70"/>
      <c r="F7" s="70"/>
      <c r="G7" s="70"/>
      <c r="H7" s="70"/>
      <c r="I7" s="70"/>
      <c r="N7" s="69"/>
      <c r="O7" s="69"/>
    </row>
    <row r="8" spans="1:15" x14ac:dyDescent="0.25">
      <c r="A8" s="66"/>
      <c r="C8" s="67"/>
      <c r="D8" s="70"/>
      <c r="E8" s="70"/>
      <c r="F8" s="70"/>
      <c r="G8" s="70"/>
      <c r="H8" s="70"/>
      <c r="I8" s="70"/>
      <c r="N8" s="69"/>
      <c r="O8" s="69"/>
    </row>
    <row r="9" spans="1:15" x14ac:dyDescent="0.25">
      <c r="A9" s="66"/>
      <c r="C9" s="67"/>
      <c r="D9" s="70"/>
      <c r="E9" s="70"/>
      <c r="F9" s="70"/>
      <c r="G9" s="70"/>
      <c r="H9" s="70"/>
      <c r="I9" s="70"/>
      <c r="N9" s="69"/>
      <c r="O9" s="69"/>
    </row>
    <row r="10" spans="1:15" x14ac:dyDescent="0.25">
      <c r="A10" s="66"/>
      <c r="C10" s="67"/>
      <c r="D10" s="70"/>
      <c r="E10" s="70"/>
      <c r="F10" s="70"/>
      <c r="G10" s="70"/>
      <c r="H10" s="70"/>
      <c r="I10" s="70"/>
      <c r="N10" s="69"/>
      <c r="O10" s="69"/>
    </row>
    <row r="11" spans="1:15" x14ac:dyDescent="0.25">
      <c r="A11" s="66"/>
      <c r="C11" s="67"/>
      <c r="D11" s="70"/>
      <c r="E11" s="70"/>
      <c r="F11" s="70"/>
      <c r="G11" s="70"/>
      <c r="H11" s="70"/>
      <c r="I11" s="70"/>
      <c r="N11" s="69"/>
      <c r="O11" s="69"/>
    </row>
    <row r="12" spans="1:15" x14ac:dyDescent="0.25">
      <c r="A12" s="66"/>
      <c r="C12" s="67"/>
      <c r="D12" s="70"/>
      <c r="E12" s="70"/>
      <c r="F12" s="70"/>
      <c r="G12" s="70"/>
      <c r="H12" s="70"/>
      <c r="I12" s="70"/>
      <c r="N12" s="69"/>
      <c r="O12" s="69"/>
    </row>
    <row r="13" spans="1:15" x14ac:dyDescent="0.25">
      <c r="A13" s="66"/>
      <c r="C13" s="67"/>
      <c r="D13" s="70"/>
      <c r="F13" s="71" t="s">
        <v>19</v>
      </c>
      <c r="G13" s="71" t="s">
        <v>62</v>
      </c>
      <c r="H13" s="71" t="s">
        <v>63</v>
      </c>
      <c r="I13" s="71" t="s">
        <v>54</v>
      </c>
      <c r="N13" s="69"/>
      <c r="O13" s="69"/>
    </row>
    <row r="14" spans="1:15" x14ac:dyDescent="0.25">
      <c r="A14" s="66"/>
      <c r="C14" s="67"/>
      <c r="D14" s="70"/>
      <c r="F14" s="72" t="s">
        <v>43</v>
      </c>
      <c r="G14" s="73">
        <f>+C58</f>
        <v>47</v>
      </c>
      <c r="H14" s="73">
        <f>+C59</f>
        <v>78</v>
      </c>
      <c r="I14" s="74">
        <f>+G14/H14</f>
        <v>0.60256410256410253</v>
      </c>
      <c r="N14" s="69"/>
      <c r="O14" s="69"/>
    </row>
    <row r="15" spans="1:15" x14ac:dyDescent="0.25">
      <c r="A15" s="66"/>
      <c r="C15" s="67"/>
      <c r="D15" s="70"/>
      <c r="F15" s="72" t="s">
        <v>44</v>
      </c>
      <c r="G15" s="73">
        <f>+D58</f>
        <v>73</v>
      </c>
      <c r="H15" s="73">
        <f>+D59</f>
        <v>200</v>
      </c>
      <c r="I15" s="74">
        <f t="shared" ref="I15:I19" si="0">+G15/H15</f>
        <v>0.36499999999999999</v>
      </c>
      <c r="N15" s="69"/>
      <c r="O15" s="69"/>
    </row>
    <row r="16" spans="1:15" x14ac:dyDescent="0.25">
      <c r="A16" s="66"/>
      <c r="C16" s="67"/>
      <c r="D16" s="70"/>
      <c r="F16" s="72" t="s">
        <v>45</v>
      </c>
      <c r="G16" s="73">
        <f>+E58</f>
        <v>8.3610000000000007</v>
      </c>
      <c r="H16" s="73">
        <f>+E59</f>
        <v>23.5</v>
      </c>
      <c r="I16" s="74">
        <f t="shared" si="0"/>
        <v>0.35578723404255325</v>
      </c>
      <c r="N16" s="69"/>
      <c r="O16" s="69"/>
    </row>
    <row r="17" spans="1:15" x14ac:dyDescent="0.25">
      <c r="A17" s="66"/>
      <c r="C17" s="67"/>
      <c r="D17" s="70"/>
      <c r="F17" s="72" t="s">
        <v>46</v>
      </c>
      <c r="G17" s="73">
        <f>+F58</f>
        <v>15.32</v>
      </c>
      <c r="H17" s="73">
        <f>+F59</f>
        <v>37</v>
      </c>
      <c r="I17" s="74">
        <f t="shared" si="0"/>
        <v>0.41405405405405404</v>
      </c>
      <c r="N17" s="69"/>
      <c r="O17" s="69"/>
    </row>
    <row r="18" spans="1:15" x14ac:dyDescent="0.25">
      <c r="A18" s="66"/>
      <c r="C18" s="67"/>
      <c r="D18" s="70"/>
      <c r="F18" s="72" t="s">
        <v>47</v>
      </c>
      <c r="G18" s="73">
        <f>+G58</f>
        <v>93.582999999999998</v>
      </c>
      <c r="H18" s="73">
        <f>+G59</f>
        <v>200</v>
      </c>
      <c r="I18" s="74">
        <f t="shared" si="0"/>
        <v>0.46791499999999997</v>
      </c>
      <c r="N18" s="69"/>
      <c r="O18" s="69"/>
    </row>
    <row r="19" spans="1:15" x14ac:dyDescent="0.25">
      <c r="A19" s="66"/>
      <c r="C19" s="67"/>
      <c r="D19" s="70"/>
      <c r="F19" s="72" t="s">
        <v>52</v>
      </c>
      <c r="G19" s="73">
        <f>+H58</f>
        <v>113</v>
      </c>
      <c r="H19" s="73">
        <f>+H59</f>
        <v>384</v>
      </c>
      <c r="I19" s="74">
        <f t="shared" si="0"/>
        <v>0.29427083333333331</v>
      </c>
      <c r="N19" s="69"/>
      <c r="O19" s="69"/>
    </row>
    <row r="20" spans="1:15" x14ac:dyDescent="0.25">
      <c r="A20" s="66"/>
      <c r="C20" s="67"/>
      <c r="D20" s="70"/>
      <c r="F20" s="72" t="s">
        <v>23</v>
      </c>
      <c r="G20" s="75">
        <f>SUM(G14:G19)</f>
        <v>350.26400000000001</v>
      </c>
      <c r="H20" s="75">
        <f>SUM(H14:H19)</f>
        <v>922.5</v>
      </c>
      <c r="I20" s="76">
        <f>+G20/H20</f>
        <v>0.379689972899729</v>
      </c>
      <c r="N20" s="69"/>
      <c r="O20" s="69"/>
    </row>
    <row r="21" spans="1:15" x14ac:dyDescent="0.25">
      <c r="A21" s="66"/>
      <c r="C21" s="67"/>
      <c r="D21" s="70"/>
      <c r="E21" s="70"/>
      <c r="F21" s="70"/>
      <c r="G21" s="70"/>
      <c r="H21" s="70"/>
      <c r="I21" s="70"/>
      <c r="N21" s="69"/>
      <c r="O21" s="69"/>
    </row>
    <row r="22" spans="1:15" x14ac:dyDescent="0.25">
      <c r="A22" s="66"/>
      <c r="C22" s="67"/>
      <c r="D22" s="70"/>
      <c r="E22" s="70"/>
      <c r="F22" s="70"/>
      <c r="G22" s="70"/>
      <c r="H22" s="70"/>
      <c r="I22" s="70"/>
      <c r="N22" s="69"/>
      <c r="O22" s="69"/>
    </row>
    <row r="23" spans="1:15" x14ac:dyDescent="0.25">
      <c r="A23" s="66"/>
      <c r="C23" s="67"/>
      <c r="D23" s="70"/>
      <c r="E23" s="70"/>
      <c r="F23" s="70"/>
      <c r="G23" s="70"/>
      <c r="H23" s="70"/>
      <c r="I23" s="70"/>
      <c r="N23" s="69"/>
      <c r="O23" s="69"/>
    </row>
    <row r="24" spans="1:15" x14ac:dyDescent="0.25">
      <c r="A24" s="66"/>
      <c r="C24" s="67"/>
      <c r="D24" s="70"/>
      <c r="E24" s="70"/>
      <c r="F24" s="70"/>
      <c r="G24" s="70"/>
      <c r="H24" s="70"/>
      <c r="I24" s="70"/>
      <c r="N24" s="69"/>
      <c r="O24" s="69"/>
    </row>
    <row r="25" spans="1:15" x14ac:dyDescent="0.25">
      <c r="A25" s="66"/>
      <c r="C25" s="67"/>
      <c r="D25" s="70"/>
      <c r="E25" s="70"/>
      <c r="F25" s="70"/>
      <c r="G25" s="70"/>
      <c r="H25" s="70"/>
      <c r="I25" s="70"/>
      <c r="N25" s="69"/>
      <c r="O25" s="69"/>
    </row>
    <row r="26" spans="1:15" x14ac:dyDescent="0.25">
      <c r="A26" s="66"/>
      <c r="C26" s="67"/>
      <c r="D26" s="70"/>
      <c r="E26" s="70"/>
      <c r="F26" s="70"/>
      <c r="G26" s="70"/>
      <c r="H26" s="70"/>
      <c r="I26" s="70"/>
      <c r="N26" s="69"/>
      <c r="O26" s="69"/>
    </row>
    <row r="27" spans="1:15" x14ac:dyDescent="0.25">
      <c r="A27" s="66"/>
      <c r="C27" s="67"/>
      <c r="D27" s="70"/>
      <c r="E27" s="70"/>
      <c r="F27" s="70"/>
      <c r="G27" s="70"/>
      <c r="H27" s="70"/>
      <c r="I27" s="70"/>
      <c r="N27" s="69"/>
      <c r="O27" s="69"/>
    </row>
    <row r="28" spans="1:15" x14ac:dyDescent="0.25">
      <c r="A28" s="66"/>
      <c r="C28" s="67"/>
      <c r="D28" s="70"/>
      <c r="E28" s="70"/>
      <c r="N28" s="69"/>
      <c r="O28" s="69"/>
    </row>
    <row r="29" spans="1:15" x14ac:dyDescent="0.25">
      <c r="A29" s="66"/>
      <c r="C29" s="67"/>
      <c r="D29" s="70"/>
      <c r="E29" s="70"/>
      <c r="N29" s="69"/>
      <c r="O29" s="69"/>
    </row>
    <row r="30" spans="1:15" x14ac:dyDescent="0.25">
      <c r="A30" s="66"/>
      <c r="C30" s="67"/>
      <c r="D30" s="70"/>
      <c r="E30" s="70"/>
      <c r="N30" s="69"/>
      <c r="O30" s="69"/>
    </row>
    <row r="31" spans="1:15" x14ac:dyDescent="0.25">
      <c r="A31" s="66"/>
      <c r="C31" s="67"/>
      <c r="D31" s="70"/>
      <c r="E31" s="70"/>
      <c r="F31" s="71" t="s">
        <v>64</v>
      </c>
      <c r="G31" s="71" t="s">
        <v>53</v>
      </c>
      <c r="H31" s="71" t="s">
        <v>61</v>
      </c>
      <c r="I31" s="71" t="s">
        <v>48</v>
      </c>
      <c r="K31" s="71" t="s">
        <v>60</v>
      </c>
      <c r="N31" s="69"/>
      <c r="O31" s="69"/>
    </row>
    <row r="32" spans="1:15" x14ac:dyDescent="0.25">
      <c r="A32" s="66"/>
      <c r="C32" s="67"/>
      <c r="D32" s="70"/>
      <c r="E32" s="70"/>
      <c r="F32" s="72" t="s">
        <v>43</v>
      </c>
      <c r="G32" s="73">
        <f>+B66</f>
        <v>78</v>
      </c>
      <c r="H32" s="73">
        <f>+C66</f>
        <v>32.5</v>
      </c>
      <c r="I32" s="97">
        <f>+D66</f>
        <v>47</v>
      </c>
      <c r="K32" s="105">
        <f>+I32-H32</f>
        <v>14.5</v>
      </c>
      <c r="N32" s="69"/>
      <c r="O32" s="69"/>
    </row>
    <row r="33" spans="1:15" x14ac:dyDescent="0.25">
      <c r="A33" s="66"/>
      <c r="C33" s="67"/>
      <c r="D33" s="70"/>
      <c r="E33" s="70"/>
      <c r="F33" s="72" t="s">
        <v>44</v>
      </c>
      <c r="G33" s="73">
        <f>+B67</f>
        <v>200</v>
      </c>
      <c r="H33" s="73">
        <f>+C67</f>
        <v>83.333333333333343</v>
      </c>
      <c r="I33" s="97">
        <f>+D67</f>
        <v>73</v>
      </c>
      <c r="K33" s="105">
        <f t="shared" ref="K33:K38" si="1">+I33-H33</f>
        <v>-10.333333333333343</v>
      </c>
      <c r="N33" s="69"/>
      <c r="O33" s="69"/>
    </row>
    <row r="34" spans="1:15" x14ac:dyDescent="0.25">
      <c r="A34" s="66"/>
      <c r="C34" s="67"/>
      <c r="D34" s="70"/>
      <c r="E34" s="70"/>
      <c r="F34" s="72" t="s">
        <v>45</v>
      </c>
      <c r="G34" s="73">
        <f>+B68</f>
        <v>23.5</v>
      </c>
      <c r="H34" s="73">
        <f>+C68</f>
        <v>9.7916666666666661</v>
      </c>
      <c r="I34" s="97">
        <f>+D68</f>
        <v>8.3610000000000007</v>
      </c>
      <c r="K34" s="105">
        <f t="shared" si="1"/>
        <v>-1.4306666666666654</v>
      </c>
      <c r="N34" s="69"/>
      <c r="O34" s="69"/>
    </row>
    <row r="35" spans="1:15" x14ac:dyDescent="0.25">
      <c r="A35" s="66"/>
      <c r="C35" s="67"/>
      <c r="D35" s="70"/>
      <c r="E35" s="70"/>
      <c r="F35" s="72" t="s">
        <v>46</v>
      </c>
      <c r="G35" s="73">
        <f>+B69</f>
        <v>37</v>
      </c>
      <c r="H35" s="73">
        <f>+C69</f>
        <v>15.416666666666668</v>
      </c>
      <c r="I35" s="97">
        <f>+D69</f>
        <v>15.32</v>
      </c>
      <c r="K35" s="106">
        <f t="shared" si="1"/>
        <v>-9.6666666666667567E-2</v>
      </c>
      <c r="N35" s="69"/>
      <c r="O35" s="69"/>
    </row>
    <row r="36" spans="1:15" x14ac:dyDescent="0.25">
      <c r="A36" s="66"/>
      <c r="C36" s="67"/>
      <c r="D36" s="70"/>
      <c r="E36" s="70"/>
      <c r="F36" s="72" t="s">
        <v>47</v>
      </c>
      <c r="G36" s="73">
        <f>+B70</f>
        <v>200</v>
      </c>
      <c r="H36" s="73">
        <f>+C70</f>
        <v>83.333333333333343</v>
      </c>
      <c r="I36" s="97">
        <f>+D70</f>
        <v>93.582999999999998</v>
      </c>
      <c r="K36" s="105">
        <f t="shared" si="1"/>
        <v>10.249666666666656</v>
      </c>
      <c r="N36" s="69"/>
      <c r="O36" s="69"/>
    </row>
    <row r="37" spans="1:15" x14ac:dyDescent="0.25">
      <c r="A37" s="66"/>
      <c r="C37" s="67"/>
      <c r="D37" s="70"/>
      <c r="E37" s="70"/>
      <c r="F37" s="72" t="s">
        <v>52</v>
      </c>
      <c r="G37" s="73">
        <f>+B71</f>
        <v>384</v>
      </c>
      <c r="H37" s="73">
        <f>+C71</f>
        <v>160</v>
      </c>
      <c r="I37" s="97">
        <f>+D71</f>
        <v>113</v>
      </c>
      <c r="K37" s="105">
        <f t="shared" si="1"/>
        <v>-47</v>
      </c>
      <c r="N37" s="69"/>
      <c r="O37" s="69"/>
    </row>
    <row r="38" spans="1:15" x14ac:dyDescent="0.25">
      <c r="A38" s="66"/>
      <c r="C38" s="67"/>
      <c r="D38" s="70"/>
      <c r="E38" s="70"/>
      <c r="F38" s="72" t="s">
        <v>23</v>
      </c>
      <c r="G38" s="75">
        <f>SUM(G32:G37)</f>
        <v>922.5</v>
      </c>
      <c r="H38" s="75">
        <f>SUM(H32:H37)</f>
        <v>384.375</v>
      </c>
      <c r="I38" s="75">
        <f>SUM(I32:I37)</f>
        <v>350.26400000000001</v>
      </c>
      <c r="K38" s="107">
        <f t="shared" si="1"/>
        <v>-34.11099999999999</v>
      </c>
      <c r="N38" s="69"/>
      <c r="O38" s="69"/>
    </row>
    <row r="39" spans="1:15" x14ac:dyDescent="0.25">
      <c r="A39" s="66"/>
      <c r="C39" s="67"/>
      <c r="D39" s="70"/>
      <c r="E39" s="70"/>
      <c r="F39" s="70"/>
      <c r="G39" s="70"/>
      <c r="H39" s="70"/>
      <c r="I39" s="70"/>
      <c r="N39" s="69"/>
      <c r="O39" s="69"/>
    </row>
    <row r="40" spans="1:15" x14ac:dyDescent="0.25">
      <c r="A40" s="66"/>
      <c r="C40" s="67"/>
      <c r="D40" s="70"/>
      <c r="E40" s="70"/>
      <c r="F40" s="70"/>
      <c r="G40" s="70"/>
      <c r="H40" s="70"/>
      <c r="I40" s="70"/>
      <c r="N40" s="69"/>
      <c r="O40" s="69"/>
    </row>
    <row r="41" spans="1:15" x14ac:dyDescent="0.25">
      <c r="A41" s="66"/>
      <c r="C41" s="67"/>
      <c r="D41" s="70"/>
      <c r="E41" s="70"/>
      <c r="F41" s="70"/>
      <c r="G41" s="70"/>
      <c r="H41" s="70"/>
      <c r="I41" s="70"/>
      <c r="N41" s="69"/>
      <c r="O41" s="69"/>
    </row>
    <row r="42" spans="1:15" x14ac:dyDescent="0.25">
      <c r="A42" s="66"/>
      <c r="C42" s="67"/>
      <c r="D42" s="70"/>
      <c r="E42" s="70"/>
      <c r="F42" s="70"/>
      <c r="G42" s="70"/>
      <c r="H42" s="70"/>
      <c r="I42" s="70"/>
      <c r="N42" s="69"/>
      <c r="O42" s="69"/>
    </row>
    <row r="43" spans="1:15" ht="15.75" thickBot="1" x14ac:dyDescent="0.3">
      <c r="A43" s="66"/>
      <c r="C43" s="67"/>
      <c r="D43" s="70"/>
      <c r="E43" s="70"/>
      <c r="F43" s="70"/>
      <c r="G43" s="70"/>
      <c r="H43" s="70"/>
      <c r="I43" s="70"/>
      <c r="N43" s="69"/>
      <c r="O43" s="69"/>
    </row>
    <row r="44" spans="1:15" ht="15.75" thickBot="1" x14ac:dyDescent="0.3">
      <c r="A44" s="93" t="s">
        <v>65</v>
      </c>
      <c r="B44" s="94"/>
      <c r="C44" s="94"/>
      <c r="D44" s="94"/>
      <c r="E44" s="94"/>
      <c r="F44" s="94"/>
      <c r="G44" s="94"/>
      <c r="H44" s="94"/>
      <c r="I44" s="108"/>
      <c r="N44" s="69"/>
      <c r="O44" s="69"/>
    </row>
    <row r="45" spans="1:15" x14ac:dyDescent="0.25">
      <c r="A45" s="62" t="s">
        <v>18</v>
      </c>
      <c r="B45" s="64" t="s">
        <v>19</v>
      </c>
      <c r="C45" s="64" t="s">
        <v>43</v>
      </c>
      <c r="D45" s="64" t="s">
        <v>44</v>
      </c>
      <c r="E45" s="64" t="s">
        <v>45</v>
      </c>
      <c r="F45" s="70" t="s">
        <v>46</v>
      </c>
      <c r="G45" s="64" t="s">
        <v>47</v>
      </c>
      <c r="H45" s="64" t="s">
        <v>52</v>
      </c>
      <c r="I45" s="80" t="s">
        <v>23</v>
      </c>
      <c r="J45" s="69"/>
      <c r="K45" s="69"/>
    </row>
    <row r="46" spans="1:15" x14ac:dyDescent="0.25">
      <c r="A46" s="82">
        <v>2026</v>
      </c>
      <c r="B46" s="82" t="s">
        <v>4</v>
      </c>
      <c r="C46" s="83">
        <v>10</v>
      </c>
      <c r="D46" s="83">
        <v>0</v>
      </c>
      <c r="E46" s="84">
        <v>0.88</v>
      </c>
      <c r="F46" s="85">
        <v>3.08</v>
      </c>
      <c r="G46" s="85">
        <v>42.073</v>
      </c>
      <c r="H46" s="85">
        <v>204</v>
      </c>
      <c r="I46" s="85">
        <f>+Tabla24[[#This Row],[NOMINA]]+Tabla24[[#This Row],[RUTAS]]+Tabla24[[#This Row],[ORDENES SERVICIOS]]+Tabla24[[#This Row],[PODA]]+Tabla24[[#This Row],[ENERGIA ]]</f>
        <v>56.033000000000001</v>
      </c>
      <c r="J46" s="78"/>
      <c r="K46" s="78"/>
    </row>
    <row r="47" spans="1:15" x14ac:dyDescent="0.25">
      <c r="A47" s="82">
        <v>2026</v>
      </c>
      <c r="B47" s="82" t="s">
        <v>5</v>
      </c>
      <c r="C47" s="83">
        <v>15</v>
      </c>
      <c r="D47" s="83">
        <v>-2</v>
      </c>
      <c r="E47" s="84">
        <v>2.452</v>
      </c>
      <c r="F47" s="85">
        <v>3.08</v>
      </c>
      <c r="G47" s="85"/>
      <c r="H47" s="85">
        <v>200</v>
      </c>
      <c r="I47" s="85">
        <f>+Tabla24[[#This Row],[NOMINA]]+Tabla24[[#This Row],[RUTAS]]+Tabla24[[#This Row],[ORDENES SERVICIOS]]+Tabla24[[#This Row],[PODA]]+Tabla24[[#This Row],[ENERGIA ]]</f>
        <v>18.532</v>
      </c>
      <c r="J47" s="78"/>
      <c r="K47" s="78"/>
    </row>
    <row r="48" spans="1:15" x14ac:dyDescent="0.25">
      <c r="A48" s="82">
        <v>2026</v>
      </c>
      <c r="B48" s="82" t="s">
        <v>6</v>
      </c>
      <c r="C48" s="83">
        <v>12</v>
      </c>
      <c r="D48" s="83">
        <v>27</v>
      </c>
      <c r="E48" s="84">
        <v>0</v>
      </c>
      <c r="F48" s="85">
        <v>3.08</v>
      </c>
      <c r="G48" s="85">
        <v>39.51</v>
      </c>
      <c r="H48" s="85">
        <v>234</v>
      </c>
      <c r="I48" s="85">
        <f>+Tabla24[[#This Row],[NOMINA]]+Tabla24[[#This Row],[RUTAS]]+Tabla24[[#This Row],[ORDENES SERVICIOS]]+Tabla24[[#This Row],[PODA]]+Tabla24[[#This Row],[ENERGIA ]]</f>
        <v>81.59</v>
      </c>
      <c r="J48" s="78"/>
      <c r="K48" s="78"/>
    </row>
    <row r="49" spans="1:12" x14ac:dyDescent="0.25">
      <c r="A49" s="82">
        <v>2026</v>
      </c>
      <c r="B49" s="82" t="s">
        <v>7</v>
      </c>
      <c r="C49" s="83">
        <v>6</v>
      </c>
      <c r="D49" s="83">
        <v>21</v>
      </c>
      <c r="E49" s="84">
        <v>0.81699999999999995</v>
      </c>
      <c r="F49" s="85">
        <v>3.08</v>
      </c>
      <c r="G49" s="85">
        <v>12</v>
      </c>
      <c r="H49" s="85">
        <v>313</v>
      </c>
      <c r="I49" s="85">
        <f>+Tabla24[[#This Row],[NOMINA]]+Tabla24[[#This Row],[RUTAS]]+Tabla24[[#This Row],[ORDENES SERVICIOS]]+Tabla24[[#This Row],[PODA]]+Tabla24[[#This Row],[ENERGIA ]]</f>
        <v>42.896999999999998</v>
      </c>
      <c r="J49" s="78"/>
      <c r="K49" s="78"/>
    </row>
    <row r="50" spans="1:12" x14ac:dyDescent="0.25">
      <c r="A50" s="82">
        <v>2026</v>
      </c>
      <c r="B50" s="82" t="s">
        <v>8</v>
      </c>
      <c r="C50" s="83">
        <v>4</v>
      </c>
      <c r="D50" s="83">
        <v>27</v>
      </c>
      <c r="E50" s="84">
        <v>4.2119999999999997</v>
      </c>
      <c r="F50" s="85">
        <v>3</v>
      </c>
      <c r="G50" s="85"/>
      <c r="H50" s="85">
        <v>113</v>
      </c>
      <c r="I50" s="85">
        <f>+Tabla24[[#This Row],[NOMINA]]+Tabla24[[#This Row],[RUTAS]]+Tabla24[[#This Row],[ORDENES SERVICIOS]]+Tabla24[[#This Row],[PODA]]+Tabla24[[#This Row],[ENERGIA ]]+Tabla24[[#This Row],[INVENTARIOS]]</f>
        <v>151.21199999999999</v>
      </c>
      <c r="J50" s="78"/>
      <c r="K50" s="78"/>
    </row>
    <row r="51" spans="1:12" x14ac:dyDescent="0.25">
      <c r="A51" s="82">
        <v>2026</v>
      </c>
      <c r="B51" s="82" t="s">
        <v>9</v>
      </c>
      <c r="C51" s="83"/>
      <c r="D51" s="83"/>
      <c r="E51" s="83"/>
      <c r="F51" s="85"/>
      <c r="G51" s="85"/>
      <c r="H51" s="85"/>
      <c r="I51" s="85">
        <f>+Tabla24[[#This Row],[NOMINA]]+Tabla24[[#This Row],[RUTAS]]+Tabla24[[#This Row],[ORDENES SERVICIOS]]+Tabla24[[#This Row],[PODA]]+Tabla24[[#This Row],[ENERGIA ]]+Tabla24[[#This Row],[INVENTARIOS]]</f>
        <v>0</v>
      </c>
      <c r="J51" s="78"/>
      <c r="K51" s="78"/>
    </row>
    <row r="52" spans="1:12" x14ac:dyDescent="0.25">
      <c r="A52" s="82">
        <v>2026</v>
      </c>
      <c r="B52" s="82" t="s">
        <v>10</v>
      </c>
      <c r="C52" s="83"/>
      <c r="D52" s="83"/>
      <c r="E52" s="83"/>
      <c r="F52" s="85"/>
      <c r="G52" s="85"/>
      <c r="H52" s="85"/>
      <c r="I52" s="85">
        <f>+Tabla24[[#This Row],[NOMINA]]+Tabla24[[#This Row],[RUTAS]]+Tabla24[[#This Row],[ORDENES SERVICIOS]]+Tabla24[[#This Row],[PODA]]+Tabla24[[#This Row],[ENERGIA ]]+Tabla24[[#This Row],[INVENTARIOS]]</f>
        <v>0</v>
      </c>
      <c r="J52" s="78"/>
      <c r="K52" s="78"/>
    </row>
    <row r="53" spans="1:12" x14ac:dyDescent="0.25">
      <c r="A53" s="82">
        <v>2026</v>
      </c>
      <c r="B53" s="82" t="s">
        <v>11</v>
      </c>
      <c r="C53" s="83"/>
      <c r="D53" s="83"/>
      <c r="E53" s="83"/>
      <c r="F53" s="85"/>
      <c r="G53" s="85"/>
      <c r="H53" s="85"/>
      <c r="I53" s="85">
        <f>+Tabla24[[#This Row],[NOMINA]]+Tabla24[[#This Row],[RUTAS]]+Tabla24[[#This Row],[ORDENES SERVICIOS]]+Tabla24[[#This Row],[PODA]]+Tabla24[[#This Row],[ENERGIA ]]+Tabla24[[#This Row],[INVENTARIOS]]</f>
        <v>0</v>
      </c>
      <c r="J53" s="78"/>
      <c r="K53" s="78"/>
    </row>
    <row r="54" spans="1:12" x14ac:dyDescent="0.25">
      <c r="A54" s="82">
        <v>2026</v>
      </c>
      <c r="B54" s="82" t="s">
        <v>12</v>
      </c>
      <c r="C54" s="83"/>
      <c r="D54" s="83"/>
      <c r="E54" s="83"/>
      <c r="F54" s="85"/>
      <c r="G54" s="85"/>
      <c r="H54" s="85"/>
      <c r="I54" s="85">
        <f>+Tabla24[[#This Row],[NOMINA]]+Tabla24[[#This Row],[RUTAS]]+Tabla24[[#This Row],[ORDENES SERVICIOS]]+Tabla24[[#This Row],[PODA]]+Tabla24[[#This Row],[ENERGIA ]]+Tabla24[[#This Row],[INVENTARIOS]]</f>
        <v>0</v>
      </c>
      <c r="J54" s="78"/>
      <c r="K54" s="78"/>
    </row>
    <row r="55" spans="1:12" x14ac:dyDescent="0.25">
      <c r="A55" s="82">
        <v>2026</v>
      </c>
      <c r="B55" s="82" t="s">
        <v>13</v>
      </c>
      <c r="C55" s="83"/>
      <c r="D55" s="83"/>
      <c r="E55" s="83"/>
      <c r="F55" s="85"/>
      <c r="G55" s="85"/>
      <c r="H55" s="85"/>
      <c r="I55" s="85">
        <f>+Tabla24[[#This Row],[NOMINA]]+Tabla24[[#This Row],[RUTAS]]+Tabla24[[#This Row],[ORDENES SERVICIOS]]+Tabla24[[#This Row],[PODA]]+Tabla24[[#This Row],[ENERGIA ]]+Tabla24[[#This Row],[INVENTARIOS]]</f>
        <v>0</v>
      </c>
      <c r="J55" s="78"/>
      <c r="K55" s="78"/>
    </row>
    <row r="56" spans="1:12" x14ac:dyDescent="0.25">
      <c r="A56" s="82">
        <v>2026</v>
      </c>
      <c r="B56" s="82" t="s">
        <v>14</v>
      </c>
      <c r="C56" s="83"/>
      <c r="D56" s="83"/>
      <c r="E56" s="83"/>
      <c r="F56" s="85"/>
      <c r="G56" s="85"/>
      <c r="H56" s="85"/>
      <c r="I56" s="85">
        <f>+Tabla24[[#This Row],[NOMINA]]+Tabla24[[#This Row],[RUTAS]]+Tabla24[[#This Row],[ORDENES SERVICIOS]]+Tabla24[[#This Row],[PODA]]+Tabla24[[#This Row],[ENERGIA ]]+Tabla24[[#This Row],[INVENTARIOS]]</f>
        <v>0</v>
      </c>
      <c r="J56" s="78"/>
      <c r="K56" s="78"/>
    </row>
    <row r="57" spans="1:12" ht="15.75" thickBot="1" x14ac:dyDescent="0.3">
      <c r="A57" s="86">
        <v>2026</v>
      </c>
      <c r="B57" s="86" t="s">
        <v>15</v>
      </c>
      <c r="C57" s="87"/>
      <c r="D57" s="87"/>
      <c r="E57" s="87"/>
      <c r="F57" s="88"/>
      <c r="G57" s="88"/>
      <c r="H57" s="88"/>
      <c r="I57" s="88">
        <f>+Tabla24[[#This Row],[NOMINA]]+Tabla24[[#This Row],[RUTAS]]+Tabla24[[#This Row],[ORDENES SERVICIOS]]+Tabla24[[#This Row],[PODA]]+Tabla24[[#This Row],[ENERGIA ]]+Tabla24[[#This Row],[INVENTARIOS]]</f>
        <v>0</v>
      </c>
      <c r="J57" s="78"/>
      <c r="K57" s="78"/>
    </row>
    <row r="58" spans="1:12" ht="15.75" thickBot="1" x14ac:dyDescent="0.3">
      <c r="A58" s="96">
        <v>2026</v>
      </c>
      <c r="B58" s="90" t="s">
        <v>57</v>
      </c>
      <c r="C58" s="91">
        <f>SUBTOTAL(109,C46:C57)</f>
        <v>47</v>
      </c>
      <c r="D58" s="91">
        <f t="shared" ref="D58:G58" si="2">SUBTOTAL(109,D46:D57)</f>
        <v>73</v>
      </c>
      <c r="E58" s="91">
        <f t="shared" si="2"/>
        <v>8.3610000000000007</v>
      </c>
      <c r="F58" s="91">
        <f t="shared" si="2"/>
        <v>15.32</v>
      </c>
      <c r="G58" s="91">
        <f t="shared" si="2"/>
        <v>93.582999999999998</v>
      </c>
      <c r="H58" s="92">
        <f>+H50</f>
        <v>113</v>
      </c>
      <c r="I58" s="89">
        <f>+Tabla24[[#This Row],[NOMINA]]+Tabla24[[#This Row],[RUTAS]]+Tabla24[[#This Row],[ORDENES SERVICIOS]]+Tabla24[[#This Row],[PODA]]+Tabla24[[#This Row],[ENERGIA ]]+Tabla24[[#This Row],[INVENTARIOS]]</f>
        <v>350.26400000000001</v>
      </c>
      <c r="J58" s="79"/>
      <c r="K58" s="79"/>
      <c r="L58" s="79"/>
    </row>
    <row r="59" spans="1:12" ht="15.75" thickBot="1" x14ac:dyDescent="0.3">
      <c r="A59" s="93" t="s">
        <v>53</v>
      </c>
      <c r="B59" s="94"/>
      <c r="C59" s="91">
        <v>78</v>
      </c>
      <c r="D59" s="91">
        <v>200</v>
      </c>
      <c r="E59" s="91">
        <v>23.5</v>
      </c>
      <c r="F59" s="91">
        <v>37</v>
      </c>
      <c r="G59" s="91">
        <v>200</v>
      </c>
      <c r="H59" s="92">
        <v>384</v>
      </c>
      <c r="I59" s="92">
        <f>SUM(C59:H59)</f>
        <v>922.5</v>
      </c>
    </row>
    <row r="60" spans="1:12" ht="15.75" thickBot="1" x14ac:dyDescent="0.3">
      <c r="A60" s="93" t="s">
        <v>58</v>
      </c>
      <c r="B60" s="94"/>
      <c r="C60" s="95">
        <f>+C59/12*5</f>
        <v>32.5</v>
      </c>
      <c r="D60" s="95">
        <f t="shared" ref="D60:H60" si="3">+D59/12*5</f>
        <v>83.333333333333343</v>
      </c>
      <c r="E60" s="95">
        <f t="shared" si="3"/>
        <v>9.7916666666666661</v>
      </c>
      <c r="F60" s="95">
        <f t="shared" si="3"/>
        <v>15.416666666666668</v>
      </c>
      <c r="G60" s="95">
        <f t="shared" si="3"/>
        <v>83.333333333333343</v>
      </c>
      <c r="H60" s="95">
        <f t="shared" si="3"/>
        <v>160</v>
      </c>
      <c r="I60" s="92">
        <f>SUM(C60:H60)</f>
        <v>384.375</v>
      </c>
    </row>
    <row r="62" spans="1:12" x14ac:dyDescent="0.25">
      <c r="F62" s="80"/>
    </row>
    <row r="63" spans="1:12" x14ac:dyDescent="0.25">
      <c r="A63" s="77"/>
      <c r="F63" s="81"/>
    </row>
    <row r="64" spans="1:12" x14ac:dyDescent="0.25">
      <c r="A64" s="77"/>
      <c r="F64" s="81"/>
    </row>
    <row r="65" spans="1:4" s="99" customFormat="1" hidden="1" x14ac:dyDescent="0.25">
      <c r="A65" s="98" t="s">
        <v>19</v>
      </c>
      <c r="B65" s="98" t="s">
        <v>53</v>
      </c>
      <c r="C65" s="98" t="s">
        <v>59</v>
      </c>
      <c r="D65" s="98" t="s">
        <v>48</v>
      </c>
    </row>
    <row r="66" spans="1:4" s="99" customFormat="1" hidden="1" x14ac:dyDescent="0.25">
      <c r="A66" s="100" t="s">
        <v>43</v>
      </c>
      <c r="B66" s="101">
        <f>+H14</f>
        <v>78</v>
      </c>
      <c r="C66" s="101">
        <f>+B66/12*5</f>
        <v>32.5</v>
      </c>
      <c r="D66" s="102">
        <f>+C58</f>
        <v>47</v>
      </c>
    </row>
    <row r="67" spans="1:4" s="99" customFormat="1" hidden="1" x14ac:dyDescent="0.25">
      <c r="A67" s="100" t="s">
        <v>44</v>
      </c>
      <c r="B67" s="101">
        <f t="shared" ref="B67:B71" si="4">+H15</f>
        <v>200</v>
      </c>
      <c r="C67" s="101">
        <f t="shared" ref="C67:C71" si="5">+B67/12*5</f>
        <v>83.333333333333343</v>
      </c>
      <c r="D67" s="102">
        <f>+D58</f>
        <v>73</v>
      </c>
    </row>
    <row r="68" spans="1:4" s="99" customFormat="1" hidden="1" x14ac:dyDescent="0.25">
      <c r="A68" s="100" t="s">
        <v>45</v>
      </c>
      <c r="B68" s="101">
        <f t="shared" si="4"/>
        <v>23.5</v>
      </c>
      <c r="C68" s="101">
        <f t="shared" si="5"/>
        <v>9.7916666666666661</v>
      </c>
      <c r="D68" s="102">
        <f>+E58</f>
        <v>8.3610000000000007</v>
      </c>
    </row>
    <row r="69" spans="1:4" s="99" customFormat="1" hidden="1" x14ac:dyDescent="0.25">
      <c r="A69" s="100" t="s">
        <v>46</v>
      </c>
      <c r="B69" s="101">
        <f t="shared" si="4"/>
        <v>37</v>
      </c>
      <c r="C69" s="101">
        <f t="shared" si="5"/>
        <v>15.416666666666668</v>
      </c>
      <c r="D69" s="102">
        <f>+F58</f>
        <v>15.32</v>
      </c>
    </row>
    <row r="70" spans="1:4" s="99" customFormat="1" hidden="1" x14ac:dyDescent="0.25">
      <c r="A70" s="100" t="s">
        <v>47</v>
      </c>
      <c r="B70" s="101">
        <f t="shared" si="4"/>
        <v>200</v>
      </c>
      <c r="C70" s="101">
        <f t="shared" si="5"/>
        <v>83.333333333333343</v>
      </c>
      <c r="D70" s="102">
        <f>+G58</f>
        <v>93.582999999999998</v>
      </c>
    </row>
    <row r="71" spans="1:4" s="99" customFormat="1" hidden="1" x14ac:dyDescent="0.25">
      <c r="A71" s="100" t="s">
        <v>52</v>
      </c>
      <c r="B71" s="101">
        <f t="shared" si="4"/>
        <v>384</v>
      </c>
      <c r="C71" s="101">
        <f t="shared" si="5"/>
        <v>160</v>
      </c>
      <c r="D71" s="102">
        <f>+H58</f>
        <v>113</v>
      </c>
    </row>
    <row r="72" spans="1:4" s="99" customFormat="1" hidden="1" x14ac:dyDescent="0.25">
      <c r="A72" s="100" t="s">
        <v>23</v>
      </c>
      <c r="B72" s="103">
        <f>SUM(B66:B71)</f>
        <v>922.5</v>
      </c>
      <c r="C72" s="103">
        <f>SUM(C66:C71)</f>
        <v>384.375</v>
      </c>
      <c r="D72" s="103">
        <f>SUM(D66:D71)</f>
        <v>350.26400000000001</v>
      </c>
    </row>
    <row r="73" spans="1:4" s="99" customFormat="1" hidden="1" x14ac:dyDescent="0.25">
      <c r="A73" s="104"/>
    </row>
  </sheetData>
  <mergeCells count="5">
    <mergeCell ref="H2:I2"/>
    <mergeCell ref="D2:G2"/>
    <mergeCell ref="A59:B59"/>
    <mergeCell ref="A60:B60"/>
    <mergeCell ref="A44:I44"/>
  </mergeCells>
  <conditionalFormatting sqref="K32:K38">
    <cfRule type="iconSet" priority="1">
      <iconSet iconSet="3Symbols">
        <cfvo type="percent" val="0"/>
        <cfvo type="num" val="0" gte="0"/>
        <cfvo type="num" val="1" gte="0"/>
      </iconSet>
    </cfRule>
    <cfRule type="iconSet" priority="4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B01E-38EE-466E-AB38-B52898456D9A}">
  <dimension ref="A1:O28"/>
  <sheetViews>
    <sheetView showGridLines="0" zoomScale="90" zoomScaleNormal="90" workbookViewId="0">
      <selection activeCell="F3" sqref="F3"/>
    </sheetView>
  </sheetViews>
  <sheetFormatPr baseColWidth="10" defaultRowHeight="15" x14ac:dyDescent="0.25"/>
  <cols>
    <col min="1" max="1" width="29.7109375" style="3" bestFit="1" customWidth="1"/>
    <col min="3" max="4" width="17.5703125" bestFit="1" customWidth="1"/>
    <col min="5" max="5" width="19" bestFit="1" customWidth="1"/>
    <col min="6" max="6" width="20.85546875" bestFit="1" customWidth="1"/>
    <col min="7" max="7" width="20.140625" bestFit="1" customWidth="1"/>
    <col min="8" max="8" width="16.42578125" bestFit="1" customWidth="1"/>
    <col min="9" max="9" width="20.28515625" bestFit="1" customWidth="1"/>
    <col min="10" max="10" width="13.85546875" hidden="1" customWidth="1"/>
    <col min="11" max="11" width="16.42578125" bestFit="1" customWidth="1"/>
    <col min="12" max="12" width="14.85546875" bestFit="1" customWidth="1"/>
    <col min="14" max="14" width="24.42578125" bestFit="1" customWidth="1"/>
  </cols>
  <sheetData>
    <row r="1" spans="1:15" x14ac:dyDescent="0.25">
      <c r="C1" s="15" t="s">
        <v>49</v>
      </c>
      <c r="D1" s="61">
        <f>+C2/B2</f>
        <v>0.68358351409978313</v>
      </c>
    </row>
    <row r="2" spans="1:15" x14ac:dyDescent="0.25">
      <c r="A2" s="18" t="s">
        <v>50</v>
      </c>
      <c r="B2" s="46">
        <v>922</v>
      </c>
      <c r="C2" s="54">
        <f>+C28+274</f>
        <v>630.26400000000001</v>
      </c>
      <c r="D2" s="55" t="s">
        <v>48</v>
      </c>
      <c r="E2" s="55"/>
      <c r="F2" s="55"/>
      <c r="G2" s="55"/>
      <c r="H2" s="55"/>
      <c r="I2" s="55"/>
      <c r="N2" s="40" t="s">
        <v>42</v>
      </c>
      <c r="O2" s="8"/>
    </row>
    <row r="3" spans="1:15" s="57" customFormat="1" x14ac:dyDescent="0.25">
      <c r="A3" s="56"/>
      <c r="C3" s="58"/>
      <c r="D3" s="59"/>
      <c r="E3" s="59"/>
      <c r="F3" s="59"/>
      <c r="G3" s="59"/>
      <c r="H3" s="59"/>
      <c r="I3" s="59"/>
      <c r="N3" s="60"/>
      <c r="O3" s="60"/>
    </row>
    <row r="4" spans="1:15" x14ac:dyDescent="0.25">
      <c r="A4" s="3" t="s">
        <v>18</v>
      </c>
      <c r="B4" s="15" t="s">
        <v>19</v>
      </c>
      <c r="C4" s="15" t="s">
        <v>43</v>
      </c>
      <c r="D4" s="15" t="s">
        <v>44</v>
      </c>
      <c r="E4" s="15" t="s">
        <v>45</v>
      </c>
      <c r="F4" s="41" t="s">
        <v>46</v>
      </c>
      <c r="G4" s="15" t="s">
        <v>47</v>
      </c>
      <c r="H4" s="15" t="s">
        <v>52</v>
      </c>
      <c r="I4" s="14" t="s">
        <v>23</v>
      </c>
      <c r="J4" s="8"/>
      <c r="K4" s="8"/>
    </row>
    <row r="5" spans="1:15" x14ac:dyDescent="0.25">
      <c r="A5" s="9">
        <v>2026</v>
      </c>
      <c r="B5" s="9" t="s">
        <v>4</v>
      </c>
      <c r="C5" s="10">
        <v>10</v>
      </c>
      <c r="D5" s="10">
        <v>0</v>
      </c>
      <c r="E5" s="32">
        <v>0.88</v>
      </c>
      <c r="F5" s="44">
        <v>3.08</v>
      </c>
      <c r="G5" s="45">
        <v>42.073</v>
      </c>
      <c r="H5" s="45">
        <v>204</v>
      </c>
      <c r="I5" s="45">
        <f>+Tabla246[[#This Row],[NOMINA]]+Tabla246[[#This Row],[RUTAS]]+Tabla246[[#This Row],[ORDENES SERVICIOS]]+Tabla246[[#This Row],[PODA]]+Tabla246[[#This Row],[ENERGIA ]]</f>
        <v>56.033000000000001</v>
      </c>
      <c r="J5" s="22"/>
      <c r="K5" s="22"/>
    </row>
    <row r="6" spans="1:15" x14ac:dyDescent="0.25">
      <c r="A6" s="9">
        <v>2026</v>
      </c>
      <c r="B6" s="9" t="s">
        <v>5</v>
      </c>
      <c r="C6" s="10">
        <v>15</v>
      </c>
      <c r="D6" s="10">
        <v>-2</v>
      </c>
      <c r="E6" s="32">
        <v>2.452</v>
      </c>
      <c r="F6" s="44">
        <v>3.08</v>
      </c>
      <c r="G6" s="45"/>
      <c r="H6" s="45">
        <v>200</v>
      </c>
      <c r="I6" s="45">
        <f>+Tabla246[[#This Row],[NOMINA]]+Tabla246[[#This Row],[RUTAS]]+Tabla246[[#This Row],[ORDENES SERVICIOS]]+Tabla246[[#This Row],[PODA]]+Tabla246[[#This Row],[ENERGIA ]]</f>
        <v>18.532</v>
      </c>
      <c r="J6" s="22"/>
      <c r="K6" s="22"/>
    </row>
    <row r="7" spans="1:15" x14ac:dyDescent="0.25">
      <c r="A7" s="9">
        <v>2026</v>
      </c>
      <c r="B7" s="9" t="s">
        <v>6</v>
      </c>
      <c r="C7" s="10">
        <v>12</v>
      </c>
      <c r="D7" s="10">
        <v>27</v>
      </c>
      <c r="E7" s="32">
        <v>0</v>
      </c>
      <c r="F7" s="44">
        <v>3.08</v>
      </c>
      <c r="G7" s="45">
        <v>39.51</v>
      </c>
      <c r="H7" s="45">
        <v>234</v>
      </c>
      <c r="I7" s="45">
        <f>+Tabla246[[#This Row],[NOMINA]]+Tabla246[[#This Row],[RUTAS]]+Tabla246[[#This Row],[ORDENES SERVICIOS]]+Tabla246[[#This Row],[PODA]]+Tabla246[[#This Row],[ENERGIA ]]</f>
        <v>81.59</v>
      </c>
      <c r="J7" s="22"/>
      <c r="K7" s="22"/>
    </row>
    <row r="8" spans="1:15" x14ac:dyDescent="0.25">
      <c r="A8" s="9">
        <v>2026</v>
      </c>
      <c r="B8" s="9" t="s">
        <v>7</v>
      </c>
      <c r="C8" s="22">
        <v>6</v>
      </c>
      <c r="D8" s="22">
        <v>21</v>
      </c>
      <c r="E8" s="32">
        <v>0.81699999999999995</v>
      </c>
      <c r="F8" s="44">
        <v>3.08</v>
      </c>
      <c r="G8" s="45">
        <v>12</v>
      </c>
      <c r="H8" s="45">
        <v>313</v>
      </c>
      <c r="I8" s="45">
        <f>+Tabla246[[#This Row],[NOMINA]]+Tabla246[[#This Row],[RUTAS]]+Tabla246[[#This Row],[ORDENES SERVICIOS]]+Tabla246[[#This Row],[PODA]]+Tabla246[[#This Row],[ENERGIA ]]</f>
        <v>42.896999999999998</v>
      </c>
      <c r="J8" s="22"/>
      <c r="K8" s="22"/>
    </row>
    <row r="9" spans="1:15" x14ac:dyDescent="0.25">
      <c r="A9" s="9">
        <v>2026</v>
      </c>
      <c r="B9" s="9" t="s">
        <v>8</v>
      </c>
      <c r="C9" s="22">
        <v>7</v>
      </c>
      <c r="D9" s="22">
        <v>33</v>
      </c>
      <c r="E9" s="32">
        <v>4.2119999999999997</v>
      </c>
      <c r="F9" s="44"/>
      <c r="G9" s="45"/>
      <c r="H9" s="45">
        <v>113</v>
      </c>
      <c r="I9" s="53">
        <f>+Tabla246[[#This Row],[NOMINA]]+Tabla246[[#This Row],[RUTAS]]+Tabla246[[#This Row],[ORDENES SERVICIOS]]+Tabla246[[#This Row],[PODA]]+Tabla246[[#This Row],[ENERGIA ]]+Tabla246[[#This Row],[INVENTARIOS]]</f>
        <v>157.21199999999999</v>
      </c>
      <c r="J9" s="39"/>
      <c r="K9" s="39"/>
    </row>
    <row r="10" spans="1:15" x14ac:dyDescent="0.25">
      <c r="A10" s="9">
        <v>2026</v>
      </c>
      <c r="B10" s="9" t="s">
        <v>9</v>
      </c>
      <c r="C10" s="22"/>
      <c r="D10" s="22"/>
      <c r="E10" s="10"/>
      <c r="F10" s="44"/>
      <c r="G10" s="45"/>
      <c r="H10" s="45"/>
      <c r="I10" s="45">
        <f>+Tabla246[[#This Row],[NOMINA]]+Tabla246[[#This Row],[RUTAS]]+Tabla246[[#This Row],[ORDENES SERVICIOS]]+Tabla246[[#This Row],[PODA]]+Tabla246[[#This Row],[ENERGIA ]]+Tabla246[[#This Row],[INVENTARIOS]]</f>
        <v>0</v>
      </c>
      <c r="J10" s="22"/>
      <c r="K10" s="22"/>
    </row>
    <row r="11" spans="1:15" x14ac:dyDescent="0.25">
      <c r="A11" s="9">
        <v>2026</v>
      </c>
      <c r="B11" s="9" t="s">
        <v>10</v>
      </c>
      <c r="C11" s="22"/>
      <c r="D11" s="22"/>
      <c r="E11" s="10"/>
      <c r="F11" s="44"/>
      <c r="G11" s="45"/>
      <c r="H11" s="45"/>
      <c r="I11" s="45">
        <f>+Tabla246[[#This Row],[NOMINA]]+Tabla246[[#This Row],[RUTAS]]+Tabla246[[#This Row],[ORDENES SERVICIOS]]+Tabla246[[#This Row],[PODA]]+Tabla246[[#This Row],[ENERGIA ]]+Tabla246[[#This Row],[INVENTARIOS]]</f>
        <v>0</v>
      </c>
      <c r="J11" s="22"/>
      <c r="K11" s="22"/>
    </row>
    <row r="12" spans="1:15" x14ac:dyDescent="0.25">
      <c r="A12" s="9">
        <v>2026</v>
      </c>
      <c r="B12" s="9" t="s">
        <v>11</v>
      </c>
      <c r="C12" s="22"/>
      <c r="D12" s="22"/>
      <c r="E12" s="10"/>
      <c r="F12" s="44"/>
      <c r="G12" s="45"/>
      <c r="H12" s="45"/>
      <c r="I12" s="45">
        <f>+Tabla246[[#This Row],[NOMINA]]+Tabla246[[#This Row],[RUTAS]]+Tabla246[[#This Row],[ORDENES SERVICIOS]]+Tabla246[[#This Row],[PODA]]+Tabla246[[#This Row],[ENERGIA ]]+Tabla246[[#This Row],[INVENTARIOS]]</f>
        <v>0</v>
      </c>
      <c r="J12" s="22"/>
      <c r="K12" s="22"/>
    </row>
    <row r="13" spans="1:15" x14ac:dyDescent="0.25">
      <c r="A13" s="9">
        <v>2026</v>
      </c>
      <c r="B13" s="9" t="s">
        <v>12</v>
      </c>
      <c r="C13" s="22"/>
      <c r="D13" s="22"/>
      <c r="E13" s="10"/>
      <c r="F13" s="44"/>
      <c r="G13" s="45"/>
      <c r="H13" s="45"/>
      <c r="I13" s="45">
        <f>+Tabla246[[#This Row],[NOMINA]]+Tabla246[[#This Row],[RUTAS]]+Tabla246[[#This Row],[ORDENES SERVICIOS]]+Tabla246[[#This Row],[PODA]]+Tabla246[[#This Row],[ENERGIA ]]+Tabla246[[#This Row],[INVENTARIOS]]</f>
        <v>0</v>
      </c>
      <c r="J13" s="22"/>
      <c r="K13" s="22"/>
    </row>
    <row r="14" spans="1:15" x14ac:dyDescent="0.25">
      <c r="A14" s="9">
        <v>2026</v>
      </c>
      <c r="B14" s="9" t="s">
        <v>13</v>
      </c>
      <c r="C14" s="22"/>
      <c r="D14" s="22"/>
      <c r="E14" s="10"/>
      <c r="F14" s="44"/>
      <c r="G14" s="45"/>
      <c r="H14" s="45"/>
      <c r="I14" s="45">
        <f>+Tabla246[[#This Row],[NOMINA]]+Tabla246[[#This Row],[RUTAS]]+Tabla246[[#This Row],[ORDENES SERVICIOS]]+Tabla246[[#This Row],[PODA]]+Tabla246[[#This Row],[ENERGIA ]]+Tabla246[[#This Row],[INVENTARIOS]]</f>
        <v>0</v>
      </c>
      <c r="J14" s="22"/>
      <c r="K14" s="22"/>
    </row>
    <row r="15" spans="1:15" x14ac:dyDescent="0.25">
      <c r="A15" s="9">
        <v>2026</v>
      </c>
      <c r="B15" s="9" t="s">
        <v>14</v>
      </c>
      <c r="C15" s="22"/>
      <c r="D15" s="22"/>
      <c r="E15" s="10"/>
      <c r="F15" s="44"/>
      <c r="G15" s="45"/>
      <c r="H15" s="45"/>
      <c r="I15" s="45">
        <f>+Tabla246[[#This Row],[NOMINA]]+Tabla246[[#This Row],[RUTAS]]+Tabla246[[#This Row],[ORDENES SERVICIOS]]+Tabla246[[#This Row],[PODA]]+Tabla246[[#This Row],[ENERGIA ]]+Tabla246[[#This Row],[INVENTARIOS]]</f>
        <v>0</v>
      </c>
      <c r="J15" s="22"/>
      <c r="K15" s="22"/>
    </row>
    <row r="16" spans="1:15" x14ac:dyDescent="0.25">
      <c r="A16" s="9">
        <v>2026</v>
      </c>
      <c r="B16" s="9" t="s">
        <v>15</v>
      </c>
      <c r="C16" s="22"/>
      <c r="D16" s="22"/>
      <c r="E16" s="10"/>
      <c r="F16" s="44"/>
      <c r="G16" s="45"/>
      <c r="H16" s="45"/>
      <c r="I16" s="45">
        <f>+Tabla246[[#This Row],[NOMINA]]+Tabla246[[#This Row],[RUTAS]]+Tabla246[[#This Row],[ORDENES SERVICIOS]]+Tabla246[[#This Row],[PODA]]+Tabla246[[#This Row],[ENERGIA ]]+Tabla246[[#This Row],[INVENTARIOS]]</f>
        <v>0</v>
      </c>
      <c r="J16" s="22"/>
      <c r="K16" s="22"/>
    </row>
    <row r="17" spans="1:12" x14ac:dyDescent="0.25">
      <c r="A17" s="19"/>
      <c r="B17" s="9"/>
      <c r="C17" s="52">
        <f>SUBTOTAL(109,C5:C16)</f>
        <v>50</v>
      </c>
      <c r="D17" s="51">
        <f t="shared" ref="D17:G17" si="0">SUBTOTAL(109,D5:D16)</f>
        <v>79</v>
      </c>
      <c r="E17" s="13">
        <f t="shared" si="0"/>
        <v>8.3610000000000007</v>
      </c>
      <c r="F17" s="13">
        <f t="shared" si="0"/>
        <v>12.32</v>
      </c>
      <c r="G17" s="13">
        <f t="shared" si="0"/>
        <v>93.582999999999998</v>
      </c>
      <c r="H17" s="13">
        <f>+H9</f>
        <v>113</v>
      </c>
      <c r="I17" s="45">
        <f>+Tabla246[[#This Row],[NOMINA]]+Tabla246[[#This Row],[RUTAS]]+Tabla246[[#This Row],[ORDENES SERVICIOS]]+Tabla246[[#This Row],[PODA]]+Tabla246[[#This Row],[ENERGIA ]]+Tabla246[[#This Row],[INVENTARIOS]]</f>
        <v>356.26400000000001</v>
      </c>
      <c r="J17" s="25"/>
      <c r="K17" s="25"/>
      <c r="L17" s="25"/>
    </row>
    <row r="18" spans="1:12" x14ac:dyDescent="0.25">
      <c r="A18" s="19"/>
      <c r="B18" s="9"/>
      <c r="C18" s="42"/>
      <c r="D18" s="42"/>
      <c r="E18" s="43"/>
      <c r="F18" s="9"/>
      <c r="G18" s="9"/>
    </row>
    <row r="19" spans="1:12" x14ac:dyDescent="0.25">
      <c r="D19" s="24"/>
    </row>
    <row r="22" spans="1:12" x14ac:dyDescent="0.25">
      <c r="B22" s="36" t="s">
        <v>19</v>
      </c>
      <c r="C22" s="36">
        <v>2026</v>
      </c>
      <c r="D22" s="37" t="s">
        <v>39</v>
      </c>
      <c r="E22" s="37" t="s">
        <v>51</v>
      </c>
      <c r="F22" s="37" t="s">
        <v>38</v>
      </c>
    </row>
    <row r="23" spans="1:12" x14ac:dyDescent="0.25">
      <c r="A23" s="9"/>
      <c r="B23" s="38" t="s">
        <v>4</v>
      </c>
      <c r="C23" s="47">
        <f>+I5</f>
        <v>56.033000000000001</v>
      </c>
      <c r="D23" s="48">
        <v>76.83</v>
      </c>
      <c r="E23" s="49">
        <f>+C23/D23-1</f>
        <v>-0.27068853312508134</v>
      </c>
      <c r="F23" s="33"/>
    </row>
    <row r="24" spans="1:12" x14ac:dyDescent="0.25">
      <c r="A24" s="9"/>
      <c r="B24" s="38" t="s">
        <v>5</v>
      </c>
      <c r="C24" s="47">
        <f>+I6</f>
        <v>18.532</v>
      </c>
      <c r="D24" s="48">
        <v>76.83</v>
      </c>
      <c r="E24" s="49">
        <f t="shared" ref="E24:E27" si="1">+C24/D24-1</f>
        <v>-0.75879213848756999</v>
      </c>
      <c r="F24" s="33"/>
    </row>
    <row r="25" spans="1:12" x14ac:dyDescent="0.25">
      <c r="A25" s="9"/>
      <c r="B25" s="38" t="s">
        <v>6</v>
      </c>
      <c r="C25" s="47">
        <f>+I7</f>
        <v>81.59</v>
      </c>
      <c r="D25" s="48">
        <v>76.83</v>
      </c>
      <c r="E25" s="49">
        <f t="shared" si="1"/>
        <v>6.1954965508264959E-2</v>
      </c>
      <c r="F25" s="33"/>
    </row>
    <row r="26" spans="1:12" x14ac:dyDescent="0.25">
      <c r="A26" s="9"/>
      <c r="B26" s="38" t="s">
        <v>7</v>
      </c>
      <c r="C26" s="47">
        <f>+I8</f>
        <v>42.896999999999998</v>
      </c>
      <c r="D26" s="48">
        <v>76.83</v>
      </c>
      <c r="E26" s="49">
        <f t="shared" si="1"/>
        <v>-0.44166341272940257</v>
      </c>
      <c r="F26" s="33"/>
    </row>
    <row r="27" spans="1:12" x14ac:dyDescent="0.25">
      <c r="A27" s="9"/>
      <c r="B27" s="38" t="s">
        <v>8</v>
      </c>
      <c r="C27" s="47">
        <f>+I9</f>
        <v>157.21199999999999</v>
      </c>
      <c r="D27" s="48">
        <v>76.83</v>
      </c>
      <c r="E27" s="49">
        <f t="shared" si="1"/>
        <v>1.0462319406481844</v>
      </c>
      <c r="F27" s="33"/>
    </row>
    <row r="28" spans="1:12" x14ac:dyDescent="0.25">
      <c r="A28" s="9"/>
      <c r="B28" s="38" t="s">
        <v>23</v>
      </c>
      <c r="C28" s="35">
        <f>SUM(C23:C27)</f>
        <v>356.26400000000001</v>
      </c>
      <c r="D28" s="35">
        <f>SUM(D23:D27)</f>
        <v>384.15</v>
      </c>
      <c r="E28" s="50">
        <f>SUM(E23:E27)</f>
        <v>-0.36295717818560447</v>
      </c>
      <c r="F28" s="35">
        <v>992</v>
      </c>
    </row>
  </sheetData>
  <mergeCells count="2">
    <mergeCell ref="D2:G2"/>
    <mergeCell ref="H2:I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5532aa-80a7-4a5f-becf-3a9cd91805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1CB5BF1056B74ABAE11EDDFC638F87" ma:contentTypeVersion="17" ma:contentTypeDescription="Crear nuevo documento." ma:contentTypeScope="" ma:versionID="5b295f3aa11cd873fe9923fa4b46f5ae">
  <xsd:schema xmlns:xsd="http://www.w3.org/2001/XMLSchema" xmlns:xs="http://www.w3.org/2001/XMLSchema" xmlns:p="http://schemas.microsoft.com/office/2006/metadata/properties" xmlns:ns3="3991a38b-fc0b-4bf3-b2cc-ddf822090d17" xmlns:ns4="075532aa-80a7-4a5f-becf-3a9cd9180563" targetNamespace="http://schemas.microsoft.com/office/2006/metadata/properties" ma:root="true" ma:fieldsID="02122fe9fc75e4cf39df5c333c1ff9a4" ns3:_="" ns4:_="">
    <xsd:import namespace="3991a38b-fc0b-4bf3-b2cc-ddf822090d17"/>
    <xsd:import namespace="075532aa-80a7-4a5f-becf-3a9cd918056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3:SharedWithDetails" minOccurs="0"/>
                <xsd:element ref="ns3:SharingHintHash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1a38b-fc0b-4bf3-b2cc-ddf822090d1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532aa-80a7-4a5f-becf-3a9cd9180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E91164-9E1E-46B9-8DAD-3A82388845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0405C5-DE3A-43C0-853A-C9A6882986E8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075532aa-80a7-4a5f-becf-3a9cd9180563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3991a38b-fc0b-4bf3-b2cc-ddf822090d1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88D4031-2BD6-4F46-8F38-DDDE0500F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1a38b-fc0b-4bf3-b2cc-ddf822090d17"/>
    <ds:schemaRef ds:uri="075532aa-80a7-4a5f-becf-3a9cd9180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</vt:lpstr>
      <vt:lpstr>Hoja1</vt:lpstr>
      <vt:lpstr>Base.</vt:lpstr>
      <vt:lpstr>1</vt:lpstr>
      <vt:lpstr>Base. (2)</vt:lpstr>
      <vt:lpstr>Base.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Edwin Andres Bedoya Rios</cp:lastModifiedBy>
  <dcterms:created xsi:type="dcterms:W3CDTF">2025-05-23T00:22:06Z</dcterms:created>
  <dcterms:modified xsi:type="dcterms:W3CDTF">2026-05-30T16:44:41Z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0x0101007B1CB5BF1056B74ABAE11EDDFC638F87</vt:lpwstr>
  </property>
</Properties>
</file>